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hely\Desktop\!Для ИИ\04_Шаблоны_Формы\"/>
    </mc:Choice>
  </mc:AlternateContent>
  <xr:revisionPtr revIDLastSave="0" documentId="8_{59A54E64-8929-49F7-95E1-C0C8A796B6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Реестр 9.33 (копии)" sheetId="2" state="hidden" r:id="rId2"/>
    <sheet name="Реестр №2" sheetId="3" state="hidden" r:id="rId3"/>
  </sheets>
  <definedNames>
    <definedName name="_FilterDatabase" localSheetId="1" hidden="1">'Реестр 9.33 (копии)'!$B$10:$H$18</definedName>
    <definedName name="_FilterDatabase" localSheetId="2" hidden="1">'Реестр №2'!$B$10:$H$107</definedName>
    <definedName name="_xlnm._FilterDatabase" localSheetId="0" hidden="1">Лист1!$A$8:$H$8</definedName>
    <definedName name="_xlnm._FilterDatabase" localSheetId="1" hidden="1">'Реестр 9.33 (копии)'!$B$10:$H$18</definedName>
    <definedName name="_xlnm._FilterDatabase" localSheetId="2" hidden="1">'Реестр №2'!$B$10:$H$107</definedName>
    <definedName name="Print_Titles" localSheetId="1">'Реестр 9.33 (копии)'!$10:$11</definedName>
    <definedName name="Print_Titles" localSheetId="2">'Реестр №2'!$10:$11</definedName>
    <definedName name="_xlnm.Print_Area" localSheetId="0">Лист1!$A$1:$H$166</definedName>
    <definedName name="_xlnm.Print_Area" localSheetId="1">'Реестр 9.33 (копии)'!$A$1:$H$25</definedName>
    <definedName name="_xlnm.Print_Area" localSheetId="2">'Реестр №2'!$A$1:$H$112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3" l="1"/>
  <c r="D100" i="3"/>
  <c r="D93" i="3"/>
  <c r="D92" i="3"/>
  <c r="D91" i="3"/>
  <c r="D85" i="3"/>
  <c r="D78" i="3"/>
  <c r="D77" i="3"/>
  <c r="D76" i="3"/>
  <c r="D69" i="3"/>
  <c r="D68" i="3"/>
  <c r="D62" i="3"/>
  <c r="D56" i="3"/>
  <c r="D55" i="3"/>
  <c r="D54" i="3"/>
  <c r="D47" i="3"/>
  <c r="D46" i="3"/>
  <c r="D45" i="3"/>
  <c r="D39" i="3"/>
  <c r="D32" i="3"/>
  <c r="D31" i="3"/>
  <c r="D30" i="3"/>
  <c r="D23" i="3"/>
  <c r="D22" i="3"/>
  <c r="D15" i="3"/>
  <c r="D14" i="3"/>
  <c r="D13" i="3"/>
  <c r="J11" i="1"/>
  <c r="J12" i="1" s="1"/>
  <c r="J13" i="1" s="1"/>
  <c r="H13" i="1" l="1"/>
  <c r="J14" i="1"/>
  <c r="H11" i="1"/>
  <c r="H12" i="1"/>
  <c r="H14" i="1" l="1"/>
  <c r="J15" i="1"/>
  <c r="H15" i="1" l="1"/>
  <c r="J16" i="1"/>
  <c r="H16" i="1" l="1"/>
  <c r="J17" i="1"/>
  <c r="J18" i="1" l="1"/>
  <c r="H17" i="1"/>
  <c r="H18" i="1" l="1"/>
  <c r="J19" i="1"/>
  <c r="H19" i="1" l="1"/>
  <c r="J20" i="1"/>
  <c r="H20" i="1" l="1"/>
  <c r="J21" i="1"/>
  <c r="H21" i="1" l="1"/>
  <c r="J22" i="1"/>
  <c r="H22" i="1" l="1"/>
  <c r="J23" i="1"/>
  <c r="H23" i="1" l="1"/>
  <c r="J24" i="1"/>
  <c r="J25" i="1" l="1"/>
  <c r="H24" i="1"/>
  <c r="J26" i="1" l="1"/>
  <c r="H25" i="1"/>
  <c r="H26" i="1" l="1"/>
  <c r="J27" i="1"/>
  <c r="H27" i="1" l="1"/>
  <c r="J28" i="1"/>
  <c r="J29" i="1" l="1"/>
  <c r="H28" i="1"/>
  <c r="J30" i="1" l="1"/>
  <c r="H29" i="1"/>
  <c r="J31" i="1" l="1"/>
  <c r="H30" i="1"/>
  <c r="H31" i="1" l="1"/>
  <c r="J32" i="1"/>
  <c r="H32" i="1" l="1"/>
  <c r="J33" i="1"/>
  <c r="H33" i="1" l="1"/>
  <c r="J34" i="1"/>
  <c r="H34" i="1" l="1"/>
  <c r="J35" i="1"/>
  <c r="H35" i="1" l="1"/>
  <c r="J36" i="1"/>
  <c r="H36" i="1" l="1"/>
  <c r="J37" i="1"/>
  <c r="J38" i="1" l="1"/>
  <c r="H37" i="1"/>
  <c r="J39" i="1" l="1"/>
  <c r="H38" i="1"/>
  <c r="H39" i="1" l="1"/>
  <c r="J40" i="1"/>
  <c r="H40" i="1" l="1"/>
  <c r="J41" i="1"/>
  <c r="H41" i="1" l="1"/>
  <c r="J42" i="1"/>
  <c r="H42" i="1" l="1"/>
  <c r="J43" i="1"/>
  <c r="J44" i="1" l="1"/>
  <c r="H43" i="1"/>
  <c r="H44" i="1" l="1"/>
  <c r="J45" i="1"/>
  <c r="H45" i="1" l="1"/>
  <c r="J46" i="1"/>
  <c r="J47" i="1" l="1"/>
  <c r="H46" i="1"/>
  <c r="J48" i="1" l="1"/>
  <c r="H47" i="1"/>
  <c r="J49" i="1" l="1"/>
  <c r="H48" i="1"/>
  <c r="H49" i="1" l="1"/>
  <c r="J50" i="1"/>
  <c r="H50" i="1" l="1"/>
  <c r="J51" i="1"/>
  <c r="H51" i="1" l="1"/>
  <c r="J52" i="1"/>
  <c r="H52" i="1" l="1"/>
  <c r="J53" i="1"/>
  <c r="H53" i="1" l="1"/>
  <c r="J54" i="1"/>
  <c r="H54" i="1" l="1"/>
  <c r="J55" i="1"/>
  <c r="H55" i="1" l="1"/>
  <c r="J56" i="1"/>
  <c r="H56" i="1" l="1"/>
  <c r="J57" i="1"/>
  <c r="J58" i="1" l="1"/>
  <c r="H57" i="1"/>
  <c r="H58" i="1" l="1"/>
  <c r="J59" i="1"/>
  <c r="H59" i="1" l="1"/>
  <c r="J60" i="1"/>
  <c r="J61" i="1" l="1"/>
  <c r="H60" i="1"/>
  <c r="H61" i="1" l="1"/>
  <c r="J62" i="1"/>
  <c r="H62" i="1" l="1"/>
  <c r="J63" i="1"/>
  <c r="H63" i="1" l="1"/>
  <c r="J64" i="1"/>
  <c r="J65" i="1" l="1"/>
  <c r="H64" i="1"/>
  <c r="H65" i="1" l="1"/>
  <c r="J66" i="1"/>
  <c r="H66" i="1" l="1"/>
  <c r="J67" i="1"/>
  <c r="H67" i="1" l="1"/>
  <c r="J68" i="1"/>
  <c r="H68" i="1" l="1"/>
  <c r="J69" i="1"/>
  <c r="H69" i="1" l="1"/>
  <c r="J70" i="1"/>
  <c r="J71" i="1" l="1"/>
  <c r="H70" i="1"/>
  <c r="H71" i="1" l="1"/>
  <c r="J73" i="1"/>
  <c r="J74" i="1" l="1"/>
  <c r="H73" i="1"/>
  <c r="J75" i="1" l="1"/>
  <c r="H74" i="1"/>
  <c r="J76" i="1" l="1"/>
  <c r="H75" i="1"/>
  <c r="J77" i="1" l="1"/>
  <c r="H76" i="1"/>
  <c r="J78" i="1" l="1"/>
  <c r="H77" i="1"/>
  <c r="J79" i="1" l="1"/>
  <c r="H78" i="1"/>
  <c r="J80" i="1" l="1"/>
  <c r="H79" i="1"/>
  <c r="J81" i="1" l="1"/>
  <c r="H80" i="1"/>
  <c r="J82" i="1" l="1"/>
  <c r="H81" i="1"/>
  <c r="J83" i="1" l="1"/>
  <c r="H82" i="1"/>
  <c r="J84" i="1" l="1"/>
  <c r="H83" i="1"/>
  <c r="J85" i="1" l="1"/>
  <c r="H84" i="1"/>
  <c r="J86" i="1" l="1"/>
  <c r="H85" i="1"/>
  <c r="J87" i="1" l="1"/>
  <c r="H86" i="1"/>
  <c r="J88" i="1" l="1"/>
  <c r="H87" i="1"/>
  <c r="J89" i="1" l="1"/>
  <c r="H88" i="1"/>
  <c r="J90" i="1" l="1"/>
  <c r="H89" i="1"/>
  <c r="J91" i="1" l="1"/>
  <c r="H90" i="1"/>
  <c r="J92" i="1" l="1"/>
  <c r="H91" i="1"/>
  <c r="J93" i="1" l="1"/>
  <c r="H92" i="1"/>
  <c r="J94" i="1" l="1"/>
  <c r="H93" i="1"/>
  <c r="J95" i="1" l="1"/>
  <c r="H94" i="1"/>
  <c r="J96" i="1" l="1"/>
  <c r="H95" i="1"/>
  <c r="J97" i="1" l="1"/>
  <c r="H96" i="1"/>
  <c r="J98" i="1" l="1"/>
  <c r="H97" i="1"/>
  <c r="J99" i="1" l="1"/>
  <c r="H98" i="1"/>
  <c r="J100" i="1" l="1"/>
  <c r="H99" i="1"/>
  <c r="J101" i="1" l="1"/>
  <c r="H100" i="1"/>
  <c r="J102" i="1" l="1"/>
  <c r="H101" i="1"/>
  <c r="J103" i="1" l="1"/>
  <c r="H102" i="1"/>
  <c r="J104" i="1" l="1"/>
  <c r="H103" i="1"/>
  <c r="J105" i="1" l="1"/>
  <c r="H104" i="1"/>
  <c r="J106" i="1" l="1"/>
  <c r="H105" i="1"/>
  <c r="J107" i="1" l="1"/>
  <c r="H106" i="1"/>
  <c r="J108" i="1" l="1"/>
  <c r="H107" i="1"/>
  <c r="J109" i="1" l="1"/>
  <c r="H108" i="1"/>
  <c r="J110" i="1" l="1"/>
  <c r="H109" i="1"/>
  <c r="J111" i="1" l="1"/>
  <c r="H110" i="1"/>
  <c r="J112" i="1" l="1"/>
  <c r="H111" i="1"/>
  <c r="J113" i="1" l="1"/>
  <c r="H112" i="1"/>
  <c r="J114" i="1" l="1"/>
  <c r="H113" i="1"/>
  <c r="J115" i="1" l="1"/>
  <c r="H114" i="1"/>
  <c r="J116" i="1" l="1"/>
  <c r="H115" i="1"/>
  <c r="J117" i="1" l="1"/>
  <c r="H116" i="1"/>
  <c r="J118" i="1" l="1"/>
  <c r="H117" i="1"/>
  <c r="J119" i="1" l="1"/>
  <c r="H118" i="1"/>
  <c r="J120" i="1" l="1"/>
  <c r="H119" i="1"/>
  <c r="J121" i="1" l="1"/>
  <c r="H120" i="1"/>
  <c r="J122" i="1" l="1"/>
  <c r="H121" i="1"/>
  <c r="J123" i="1" l="1"/>
  <c r="H122" i="1"/>
  <c r="J124" i="1" l="1"/>
  <c r="H123" i="1"/>
  <c r="J125" i="1" l="1"/>
  <c r="H124" i="1"/>
  <c r="J126" i="1" l="1"/>
  <c r="H125" i="1"/>
  <c r="J127" i="1" l="1"/>
  <c r="H126" i="1"/>
  <c r="J128" i="1" l="1"/>
  <c r="H127" i="1"/>
  <c r="J129" i="1" l="1"/>
  <c r="H128" i="1"/>
  <c r="J130" i="1" l="1"/>
  <c r="H129" i="1"/>
  <c r="J131" i="1" l="1"/>
  <c r="H130" i="1"/>
  <c r="J132" i="1" l="1"/>
  <c r="H131" i="1"/>
  <c r="J133" i="1" l="1"/>
  <c r="H132" i="1"/>
  <c r="J134" i="1" l="1"/>
  <c r="H133" i="1"/>
  <c r="J135" i="1" l="1"/>
  <c r="H134" i="1"/>
  <c r="J136" i="1" l="1"/>
  <c r="H135" i="1"/>
  <c r="J137" i="1" l="1"/>
  <c r="H136" i="1"/>
  <c r="J138" i="1" l="1"/>
  <c r="H137" i="1"/>
  <c r="J139" i="1" l="1"/>
  <c r="H138" i="1"/>
  <c r="J140" i="1" l="1"/>
  <c r="H139" i="1"/>
  <c r="J141" i="1" l="1"/>
  <c r="H140" i="1"/>
  <c r="J142" i="1" l="1"/>
  <c r="H141" i="1"/>
  <c r="J143" i="1" l="1"/>
  <c r="H142" i="1"/>
  <c r="J144" i="1" l="1"/>
  <c r="H143" i="1"/>
  <c r="J145" i="1" l="1"/>
  <c r="H144" i="1"/>
  <c r="J146" i="1" l="1"/>
  <c r="H145" i="1"/>
  <c r="J147" i="1" l="1"/>
  <c r="H146" i="1"/>
  <c r="J148" i="1" l="1"/>
  <c r="H147" i="1"/>
  <c r="J149" i="1" l="1"/>
  <c r="H148" i="1"/>
  <c r="J150" i="1" l="1"/>
  <c r="H149" i="1"/>
  <c r="J151" i="1" l="1"/>
  <c r="H150" i="1"/>
  <c r="J152" i="1" l="1"/>
  <c r="H151" i="1"/>
  <c r="J153" i="1" l="1"/>
  <c r="H152" i="1"/>
  <c r="J154" i="1" l="1"/>
  <c r="H153" i="1"/>
  <c r="J155" i="1" l="1"/>
  <c r="H154" i="1"/>
  <c r="J156" i="1" l="1"/>
  <c r="H155" i="1"/>
  <c r="J157" i="1" l="1"/>
  <c r="H156" i="1"/>
  <c r="J158" i="1" l="1"/>
  <c r="H157" i="1"/>
  <c r="J159" i="1" l="1"/>
  <c r="I162" i="1" s="1"/>
  <c r="H158" i="1"/>
  <c r="C160" i="1" l="1"/>
  <c r="H159" i="1"/>
</calcChain>
</file>

<file path=xl/sharedStrings.xml><?xml version="1.0" encoding="utf-8"?>
<sst xmlns="http://schemas.openxmlformats.org/spreadsheetml/2006/main" count="483" uniqueCount="122">
  <si>
    <t>Объект капитального ремонта:</t>
  </si>
  <si>
    <t>«Капитальный ремонт помещений Бизнес – парка с подземной автостоянкой по адресу: Волоколамское шоссе, вл.75А, район Покровское-Стрешнево, Северо-Западный административный округ г. Москвы».</t>
  </si>
  <si>
    <t>Адрес объекта:</t>
  </si>
  <si>
    <t>Волоколамское шоссе, вл.75А, район Покровское-Стрешнево, Северо-Западный административный округ г. Москвы.</t>
  </si>
  <si>
    <t>Производитель работ:</t>
  </si>
  <si>
    <t>Основание для выполнения работ:</t>
  </si>
  <si>
    <t>Договор подряда №ТСД-09/21 от 29.07.2021г.</t>
  </si>
  <si>
    <t>Номер корпуса:</t>
  </si>
  <si>
    <t>Период выполнения работ:</t>
  </si>
  <si>
    <t>Наименование работ:</t>
  </si>
  <si>
    <t>№п.п</t>
  </si>
  <si>
    <t>Номер документа</t>
  </si>
  <si>
    <t>Тип документа (акт, лабораторное заключение, исполнительная схема, сертификат) с указанием наименования работ, осей, отметок и т.д.</t>
  </si>
  <si>
    <t>Дата  составления документа (либо период)</t>
  </si>
  <si>
    <t>Кол-во листов, шт</t>
  </si>
  <si>
    <t>Кол-во экземпляров шт.</t>
  </si>
  <si>
    <t>Шифр чертежа</t>
  </si>
  <si>
    <t>Примечание</t>
  </si>
  <si>
    <t>1. Акты, лабораторное заключение, исполнительная схема, реестры</t>
  </si>
  <si>
    <t xml:space="preserve">лист </t>
  </si>
  <si>
    <t>№1</t>
  </si>
  <si>
    <t>б/н</t>
  </si>
  <si>
    <t>б/д</t>
  </si>
  <si>
    <t>2. Сертификаты соответствия, паспорта и других документов на применяемые материалов и изделий</t>
  </si>
  <si>
    <t>№2</t>
  </si>
  <si>
    <t>№3</t>
  </si>
  <si>
    <t>Реестр состоит из</t>
  </si>
  <si>
    <t>листов</t>
  </si>
  <si>
    <t xml:space="preserve"> </t>
  </si>
  <si>
    <t xml:space="preserve">                                                             (Должность) (Фамилия Имя Отчество)                                            (Подпись)                                (Дата)                                                      </t>
  </si>
  <si>
    <t>РЕЕСТР ИСПОЛНИТЕЛЬНОЙ ДОКУМЕНТАЦИИ №К1.1</t>
  </si>
  <si>
    <t>АО "КРОКУС"</t>
  </si>
  <si>
    <t>К1</t>
  </si>
  <si>
    <t>с 14.08.2022г. по 14.09.2022г.</t>
  </si>
  <si>
    <t>Монтаж фальшпола и финишного покрытия в ЭКСПО-ЗОНЕ корпуса К1</t>
  </si>
  <si>
    <t>Кол-во листов (включая приложения), шт</t>
  </si>
  <si>
    <t>№1/ЧБ-п/К1/АС/1-ОБС</t>
  </si>
  <si>
    <t>Акт освидетельствования скрытых работ на устройтво обеспыливания бетонной поверхности пола Тип 1, Тип 2 и Тип 3 в помещении 01.Э.1 1-го этажа корпуса К1</t>
  </si>
  <si>
    <t>14.08.2022г. - 16.08.2022г.</t>
  </si>
  <si>
    <t>К-ЦЖ/122021/РТС-К1-АС</t>
  </si>
  <si>
    <t>Исполнительная схема №1. Устройтво обеспыливания бетонной поверхности пола Тип 1, Тип 2 и Тип 3 в помещении 01.Э.1 1-го этажа корпуса К1.</t>
  </si>
  <si>
    <t>16.08.2022г.</t>
  </si>
  <si>
    <t>№2/ЧБ-п/К1/АС-ГР</t>
  </si>
  <si>
    <t>Акт освидетельствования скрытых работ Устройтво грунтования бетонной поверхности пола Тип 1, Тип 2 и Тип 3 в помещении 01.Э.1 1-го этажа корпуса К1</t>
  </si>
  <si>
    <t>16.08.2022г. - 18.08.2022г.</t>
  </si>
  <si>
    <t>Исполнительная схема №2. Устройтво грунтования бетонной поверхности пола Тип 1, Тип 2 и Тип 3 01.Э.1 1-го этажа корпуса К1.</t>
  </si>
  <si>
    <t>18.08.2022г.</t>
  </si>
  <si>
    <t>Реестр применяемых материалов</t>
  </si>
  <si>
    <t>№ RU.23.KK.08.015.E.000870.07.16</t>
  </si>
  <si>
    <t>Информационное письмо на универсальную грунтовку EUROPRIMER MULTI 044</t>
  </si>
  <si>
    <t>№ ИВ-384-213</t>
  </si>
  <si>
    <t>Свидетельство о государственной регистрации на универсальную грунтовку EUROPRIMER MULTI 044</t>
  </si>
  <si>
    <r>
      <t xml:space="preserve">Сдал: представитель Генерального подрядчика  </t>
    </r>
    <r>
      <rPr>
        <u/>
        <sz val="12"/>
        <rFont val="Times New Roman"/>
      </rPr>
      <t xml:space="preserve">Ведущий инженер АО "КРОКУС" Каграманов В.А.                                                                                                ___________________________                                                </t>
    </r>
  </si>
  <si>
    <r>
      <t xml:space="preserve">Принял: представитель Технического заказчика  </t>
    </r>
    <r>
      <rPr>
        <u/>
        <sz val="12"/>
        <rFont val="Times New Roman"/>
      </rPr>
      <t xml:space="preserve">Ведущий инженер отдела технического заказчика ООО "РТ-ДТЗ"  Звягинцева О. В.                                                                                                                                                </t>
    </r>
  </si>
  <si>
    <t>РЕЕСТР ИСПОЛНИТЕЛЬНОЙ ДОКУМЕНТАЦИИ № 9.31</t>
  </si>
  <si>
    <t>с 19.01.2023г. по 23.01.2023г.</t>
  </si>
  <si>
    <t>Оснащение архивов металлическими шкафами и стеллажами с 1-го по 19-й этаж корпуса К1</t>
  </si>
  <si>
    <t>9/ЧБ-п/К1/ТХ1-21/11-МШ</t>
  </si>
  <si>
    <t>Акт монтажа оборудования на сборку и установка разборного металлического шкафа серии ШАМ-11-500, ШАМ-0,5-500 в проектное положение на 11-ом этаже в помещениях 29, 41, 42 и металлического стеллажа серии МС-750 в помещении Ф.9 корпуса К1.</t>
  </si>
  <si>
    <t>К-ЦЖ/122021/РТС-К1-ТХ1-21</t>
  </si>
  <si>
    <t xml:space="preserve">Исполнительная схема №1. Сборка и установка архивных шкафов серии ШАМ в проектное положение на 11-ом этаже корпуса К1 в помещении 29 и 42. </t>
  </si>
  <si>
    <t xml:space="preserve">Исполнительная схема №2. Сборка и установка архивных шкафов серии ШАМ в проектное положение на 11-ом этаже корпуса К1 в помещении 41. </t>
  </si>
  <si>
    <t>Исполнительная схема №3. Сборка и установка стеллажей серии МС-750 в проектное положение на 11-ом этаже корпуса К1 в помещении Ф.9.</t>
  </si>
  <si>
    <t>Реестр</t>
  </si>
  <si>
    <t>№ РОСС RU.31621.04ПШН4.02.П00161</t>
  </si>
  <si>
    <t>Сертификат соответствия</t>
  </si>
  <si>
    <t>с 05.05.2022 по 04.05.2025</t>
  </si>
  <si>
    <t>ЕАЭС № RU Д-RU.ВЕ02.В.11853/20</t>
  </si>
  <si>
    <t>Декларация о соответствия</t>
  </si>
  <si>
    <t>с 21.09.2020 по 20.09.2025</t>
  </si>
  <si>
    <t>Паспорт разборного металлического шкафа</t>
  </si>
  <si>
    <t>Паспорт изделия Стеллажи серии МС</t>
  </si>
  <si>
    <t>10/ЧБ-п/К1/ТХ1-21/12-МШ</t>
  </si>
  <si>
    <t>Акт монтажа оборудования на сборку и установка разборного металлического шкафа серии ШАМ-11-500, ШАМ-0,5-500 в проектное положение на 12-ом этаже в помещении 36 и металлического стеллажа серии МС-750 в помещении Т.3 корпуса К1.</t>
  </si>
  <si>
    <t>Исполнительная схема №1. Сборка и установка архивных шкафов серии ШАМ в проектное положение на 12-ом этаже корпуса К1 в помещении 36.</t>
  </si>
  <si>
    <t>Исполнительная схема №2. Сборка и установка стеллажей серии МС-750 в проектное положение на 12-ом этаже корпуса К1 в помещении Т.3.</t>
  </si>
  <si>
    <t>11/ЧБ-п/К1/ТХ1-21/13-МШ</t>
  </si>
  <si>
    <t>Акт монтажа оборудования на сборку и установка разборного металлического шкафа серии ШАМ-11-500, ШАМ-0,5-500 в проектное положение на 13-ом этаже в помещениях 10, 13  и металлического стеллажа серии МС-750 в помещении 48 корпуса К1.</t>
  </si>
  <si>
    <t>Исполнительная схема №1. Сборка и установка архивных шкафов серии ШАМ в проектное положение на 13-ом этаже корпуса К1 в помещении 10.</t>
  </si>
  <si>
    <t xml:space="preserve">Исполнительная схема №2. Сборка и установка архивных шкафов серии ШАМ в проектное положение на 13-ом этаже корпуса К1 в помещении 13. </t>
  </si>
  <si>
    <t>Исполнительная схема №3. Сборка и установка стеллажей Титан МС-750 в проектное положение на 13-ом этаже корпуса К1 в помещении 48.</t>
  </si>
  <si>
    <t>11.1/ЧБ-п/К1/ТХ1-21/13-МШ</t>
  </si>
  <si>
    <t>Акт монтажа оборудования на сборку и установка металлического стеллажа серии МС-750 на 13-ом этаже в помещении Т.5 корпуса К1 в проектное положение.</t>
  </si>
  <si>
    <t xml:space="preserve">Исполнительная схема №1. Сборка и установка стеллажей серии МС-750 в проектное положение на 13-ом этаже корпуса К1 в помещении Т.5. </t>
  </si>
  <si>
    <t>12/ЧБ-п/К1/ТХ1-21/14-МШ</t>
  </si>
  <si>
    <t>Акт монтажа оборудования на сборку и установка разборного металлического шкафа серии ШАМ-11-500, ШАМ-0,5-500 в проектное положение на 14-ом этаже в помещениях  12 и 34 и металлического стеллажа серии МС-750 в помещении Ф.6 корпуса К1.</t>
  </si>
  <si>
    <t xml:space="preserve">Исполнительная схема №1. Сборка и установка архивных шкафов серии ШАМ в проектное положение на 14-ом этаже корпуса К1 в помещении 34. </t>
  </si>
  <si>
    <t xml:space="preserve">Исполнительная схема №1. Сборка и установка архивных шкафов серии ШАМ в проектное положение на 14-ом этаже корпуса К1 в помещении 12. </t>
  </si>
  <si>
    <t>Исполнительная схема №3. Сборка и установка стеллажей серии МС-750 в проектное положение на 14-ом этаже корпуса К1 в помещении Ф.6.</t>
  </si>
  <si>
    <t>13/ЧБ-п/К1/ТХ1-21/15-МШ</t>
  </si>
  <si>
    <t>Акт монтажа оборудования на сборку и установка разборного металлического шкафа серии ШАМ-11-500, ШАМ-0,5-500 в проектное положение на 15-ом этаже в помещениях  09, 49, 58, 59, 60 корпуса К1.</t>
  </si>
  <si>
    <t>Исполнительная схема №1. Сборка и установка архивных шкафов серии ШАМ в проектное положение на 15-ом этаже корпуса К1 в помещении 58 и 59.</t>
  </si>
  <si>
    <t>Исполнительная схема №2. Сборка и установка архивных шкафов серии ШАМ в проектное положение на 15-ом этаже корпуса К1 в помещении 09 и 60.</t>
  </si>
  <si>
    <t>Исполнительная схема №3. Сборка и установка архивных шкафов серии ШАМ в проектное положение на 15-ом этаже корпуса К1 в помещении 49.</t>
  </si>
  <si>
    <t>13.1/ЧБ-п/К1/ТХ1-21/15-МШ</t>
  </si>
  <si>
    <t>Акт монтажа оборудования на сборку и установка стеллажа серии МС-750 в проектное положение на 15-ом этаже в помещении  Т.3 корпуса К1.</t>
  </si>
  <si>
    <t>Исполнительная схема №1. Сборка и установка стеллажа серии МС-750 в проектное положение на 15-ом этаже корпуса К1 в помещении Т.3.</t>
  </si>
  <si>
    <t>14/ЧБ-п/К1/ТХ1-21/16-МШ</t>
  </si>
  <si>
    <t>Акт монтажа оборудования на сборку и установка разборного металлического шкафа серии ШАМ-11-500, ШАМ-0,5-500 в проектное положение на 16-ом этаже в помещении 49 и металлическкого стеллажа серии МС-750 в помещении Т.3 корпуса К1.</t>
  </si>
  <si>
    <t>Исполнительная схема №1. Сборка и установка архивных шкафов серии ШАМ в проектное положение на 16-ом этаже корпуса К1 в помещении 49.</t>
  </si>
  <si>
    <t>Исполнительная схема №2. Сборка и установка стеллажей серии МС-750 в проектное положение на 16-ом этаже корпуса К1 в помещении Т.3.</t>
  </si>
  <si>
    <t>15/ЧБ-п/К1/ТХ1-21/17-МШ</t>
  </si>
  <si>
    <t>Акт монтажа оборудования на сборку и установка разборного металлического шкафа серии ШАМ-11-500, ШАМ-0,5-500 в проектное положение на 17-ом этаже в помещениях 07, 49, 29  и металлического стеллажа серии МС-750 в помещении 29 корпуса К1.</t>
  </si>
  <si>
    <t xml:space="preserve">Исполнительная схема №1. Сборка и установка архивных шкафов серии ШАМ в проектное положение на 17-ом этаже корпуса К1 в помещении 07. </t>
  </si>
  <si>
    <t>Исполнительная схема №2. Сборка и установка архивных шкафов серии ШАМ в проектное положение на 17-ом этаже корпуса К1 в помещении 49.</t>
  </si>
  <si>
    <t>Исполнительная схема №3. Сборка и установка архивных шкафов серии ШАМ и стеллажей серии МС-750 в проектное положение на 17-ом этаже корпуса К1 в помещении 29.</t>
  </si>
  <si>
    <t>15.1/ЧБ-п/К1/ТХ1-21/17-МШ</t>
  </si>
  <si>
    <t>Акт монтажа оборудования на сборку и установка металлического стеллажа серии МС-750 на 17-ом этаже в помещении Т.3 корпуса К1 в проектное положение.</t>
  </si>
  <si>
    <t xml:space="preserve">Исполнительная схема №1. Сборка и установка стеллажей серии МС-750 в проектное положение на 17-ом этаже корпуса К1 в помещении Т.3. </t>
  </si>
  <si>
    <t>16/ЧБ-п/К1/ТХ1-21/18-МШ</t>
  </si>
  <si>
    <t>Акт монтажа оборудования на сборку и установка разборного металлического шкафа серии ШАМ-11-500, ШАМ-0,5-500  и металлических стеллажей серии МС-750 в проектное положение на 18-ом этаже в помещениях 39, 45, 62 и Т.3 корпуса К1.</t>
  </si>
  <si>
    <t xml:space="preserve">Исполнительная схема №1. Сборка и установка архивных шкафов серии ШАМ и стеллажей серии МС-750 в проектное положение на 18-ом этаже корпуса К1 в помещении 39 и 45. </t>
  </si>
  <si>
    <t xml:space="preserve">Исполнительная схема №2. Сборка и установка архивных шкафов серии ШАМ и стеллажей серии МС-750 в проектное положение на 18-ом этаже корпуса К1 в помещении 62. </t>
  </si>
  <si>
    <t>Исполнительная схема №3. Сборка и установка стеллажей серии МС-750 в проектное положение на 18-ом этаже корпуса К1 в помещении Т.3.</t>
  </si>
  <si>
    <t>17/ЧБ-п/К1/ТХ1-21/19-МШ</t>
  </si>
  <si>
    <t>Акт монтажа оборудования на сборку и установка разборного металлического шкафа серии ШАМ-11-500 и ШАМ-0,5-500 в проектное положение на 19-ом этаже в помещении 36 и металлического стеллажа серии МС-750 в помещениях Т.4 корпуса К1.</t>
  </si>
  <si>
    <t>Исполнительная схема №1. Сборка и установка архивных шкафов серии ШАМ в проектное положение на 19-ом этаже корпуса К1 в помещении 36.</t>
  </si>
  <si>
    <t>Исполнительная схема №2. Сборка и установка стеллажей серии МС-750 в проектное положение на 19-ом этаже корпуса К1 в помещении Т.4.</t>
  </si>
  <si>
    <t xml:space="preserve">Реестр включает в себя 411 листа. </t>
  </si>
  <si>
    <t>Сдал: представитель Генерального подрядчика  ______________________________________________________________________________________________________________________________</t>
  </si>
  <si>
    <t>Принял: представитель Технического заказчика  _____________________________________________________________________________________________________________________________</t>
  </si>
  <si>
    <t>РЕЕСТР ИСПОЛНИТЕЛЬНОЙ ДОКУМЕНТАЦИИ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</si>
</sst>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27" x14ac:knownFonts="1">
    <font>
      <sz val="11"/>
      <color theme="1"/>
      <name val="Calibri"/>
      <scheme val="minor"/>
    </font>
    <font>
      <sz val="10"/>
      <name val="Arial Cyr"/>
    </font>
    <font>
      <b/>
      <sz val="12"/>
      <name val="Times New Roman"/>
    </font>
    <font>
      <sz val="12"/>
      <color theme="1"/>
      <name val="Times New Roman"/>
    </font>
    <font>
      <sz val="12"/>
      <name val="Times New Roman"/>
    </font>
    <font>
      <b/>
      <sz val="12"/>
      <color theme="1"/>
      <name val="Times New Roman"/>
    </font>
    <font>
      <b/>
      <sz val="11.5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1.5"/>
      <color theme="1"/>
      <name val="Times New Roman"/>
    </font>
    <font>
      <sz val="10"/>
      <color indexed="64"/>
      <name val="Arial"/>
    </font>
    <font>
      <sz val="12"/>
      <color indexed="64"/>
      <name val="Times New Roman"/>
    </font>
    <font>
      <sz val="14"/>
      <name val="Times New Roman"/>
    </font>
    <font>
      <b/>
      <sz val="14"/>
      <name val="Times New Roman"/>
    </font>
    <font>
      <i/>
      <sz val="10"/>
      <name val="Times New Roman"/>
    </font>
    <font>
      <i/>
      <sz val="12"/>
      <name val="Times New Roman"/>
    </font>
    <font>
      <sz val="10"/>
      <color theme="1"/>
      <name val="Times New Roman"/>
    </font>
    <font>
      <sz val="11"/>
      <name val="Times New Roman"/>
    </font>
    <font>
      <sz val="11.5"/>
      <name val="Times New Roman"/>
    </font>
    <font>
      <b/>
      <u/>
      <sz val="11"/>
      <name val="Times New Roman"/>
    </font>
    <font>
      <sz val="10"/>
      <name val="Times New Roman"/>
    </font>
    <font>
      <sz val="7"/>
      <name val="Times New Roman"/>
    </font>
    <font>
      <sz val="11"/>
      <color theme="1"/>
      <name val="Calibri"/>
      <scheme val="minor"/>
    </font>
    <font>
      <u/>
      <sz val="12"/>
      <name val="Times New Roman"/>
    </font>
    <font>
      <sz val="8"/>
      <name val="Calibri"/>
      <scheme val="minor"/>
    </font>
    <font>
      <sz val="12"/>
      <color theme="1"/>
      <name val="Times New Roman"/>
      <family val="2"/>
      <charset val="204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2" fillId="0" borderId="0"/>
    <xf numFmtId="0" fontId="1" fillId="0" borderId="0"/>
    <xf numFmtId="0" fontId="25" fillId="0" borderId="0"/>
  </cellStyleXfs>
  <cellXfs count="106">
    <xf numFmtId="0" fontId="0" fillId="0" borderId="0" xfId="0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0" xfId="0"/>
    <xf numFmtId="49" fontId="0" fillId="0" borderId="0" xfId="0" applyNumberForma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0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0" fontId="3" fillId="0" borderId="0" xfId="0" applyFont="1"/>
    <xf numFmtId="0" fontId="3" fillId="2" borderId="1" xfId="0" applyFont="1" applyFill="1" applyBorder="1" applyAlignment="1">
      <alignment horizontal="left"/>
    </xf>
    <xf numFmtId="0" fontId="12" fillId="0" borderId="0" xfId="0" applyFont="1"/>
    <xf numFmtId="0" fontId="12" fillId="2" borderId="1" xfId="0" applyFont="1" applyFill="1" applyBorder="1" applyAlignment="1">
      <alignment horizontal="left"/>
    </xf>
    <xf numFmtId="14" fontId="4" fillId="0" borderId="1" xfId="0" applyNumberFormat="1" applyFont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 shrinkToFit="1"/>
    </xf>
    <xf numFmtId="1" fontId="11" fillId="0" borderId="6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/>
    </xf>
    <xf numFmtId="14" fontId="11" fillId="3" borderId="0" xfId="0" applyNumberFormat="1" applyFont="1" applyFill="1" applyAlignment="1">
      <alignment horizontal="center" vertical="center" wrapText="1"/>
    </xf>
    <xf numFmtId="14" fontId="11" fillId="0" borderId="0" xfId="0" applyNumberFormat="1" applyFont="1" applyAlignment="1">
      <alignment horizontal="left" vertical="center" wrapText="1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/>
    </xf>
    <xf numFmtId="1" fontId="12" fillId="0" borderId="0" xfId="0" applyNumberFormat="1" applyFont="1"/>
    <xf numFmtId="0" fontId="2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" fontId="4" fillId="0" borderId="0" xfId="0" applyNumberFormat="1" applyFont="1"/>
    <xf numFmtId="49" fontId="4" fillId="0" borderId="0" xfId="0" applyNumberFormat="1" applyFont="1"/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21" fillId="0" borderId="0" xfId="0" applyFont="1"/>
    <xf numFmtId="0" fontId="20" fillId="0" borderId="0" xfId="0" applyFont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/>
    </xf>
    <xf numFmtId="0" fontId="26" fillId="0" borderId="5" xfId="3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</cellXfs>
  <cellStyles count="4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9" xfId="3" xr:uid="{5D22FFC1-A7F7-4E4D-8EB0-12E4CE3E26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66"/>
  <sheetViews>
    <sheetView tabSelected="1" view="pageBreakPreview" zoomScale="85" zoomScaleSheetLayoutView="85" workbookViewId="0">
      <selection activeCell="C24" sqref="C24"/>
    </sheetView>
  </sheetViews>
  <sheetFormatPr defaultRowHeight="15" x14ac:dyDescent="0.25"/>
  <cols>
    <col min="1" max="1" width="5.42578125" customWidth="1"/>
    <col min="2" max="2" width="34" customWidth="1"/>
    <col min="3" max="3" width="85.42578125" customWidth="1"/>
    <col min="4" max="4" width="19.28515625" customWidth="1"/>
    <col min="5" max="6" width="15.140625" customWidth="1"/>
    <col min="7" max="7" width="20.7109375" style="1" customWidth="1"/>
    <col min="8" max="8" width="28.7109375" customWidth="1"/>
    <col min="10" max="10" width="5" bestFit="1" customWidth="1"/>
    <col min="13" max="13" width="11.85546875" bestFit="1" customWidth="1"/>
  </cols>
  <sheetData>
    <row r="1" spans="1:14" ht="15.75" x14ac:dyDescent="0.25">
      <c r="A1" s="95" t="s">
        <v>121</v>
      </c>
      <c r="B1" s="95"/>
      <c r="C1" s="95"/>
      <c r="D1" s="95"/>
      <c r="E1" s="95"/>
      <c r="F1" s="95"/>
      <c r="G1" s="95"/>
      <c r="H1" s="95"/>
      <c r="I1" s="2"/>
      <c r="J1" s="3"/>
      <c r="K1" s="2"/>
      <c r="L1" s="2"/>
      <c r="M1" s="4"/>
    </row>
    <row r="2" spans="1:14" ht="15.75" x14ac:dyDescent="0.25">
      <c r="A2" s="96" t="s">
        <v>0</v>
      </c>
      <c r="B2" s="96"/>
      <c r="C2" s="97"/>
      <c r="D2" s="97"/>
      <c r="E2" s="97"/>
      <c r="F2" s="97"/>
      <c r="G2" s="97"/>
      <c r="H2" s="97"/>
      <c r="I2" s="2"/>
      <c r="J2" s="3"/>
      <c r="K2" s="2"/>
      <c r="L2" s="2"/>
      <c r="M2" s="4"/>
    </row>
    <row r="3" spans="1:14" ht="15.75" x14ac:dyDescent="0.25">
      <c r="A3" s="96"/>
      <c r="B3" s="96"/>
      <c r="C3" s="97"/>
      <c r="D3" s="97"/>
      <c r="E3" s="97"/>
      <c r="F3" s="97"/>
      <c r="G3" s="97"/>
      <c r="H3" s="97"/>
      <c r="I3" s="2"/>
      <c r="J3" s="3"/>
      <c r="K3" s="2"/>
      <c r="L3" s="2"/>
      <c r="M3" s="4"/>
    </row>
    <row r="4" spans="1:14" ht="15.75" x14ac:dyDescent="0.25">
      <c r="A4" s="98" t="s">
        <v>2</v>
      </c>
      <c r="B4" s="98"/>
      <c r="C4" s="99"/>
      <c r="D4" s="99"/>
      <c r="E4" s="99"/>
      <c r="F4" s="99"/>
      <c r="G4" s="99"/>
      <c r="H4" s="99"/>
      <c r="I4" s="2"/>
      <c r="J4" s="3"/>
      <c r="K4" s="2"/>
      <c r="L4" s="2"/>
      <c r="M4" s="4"/>
    </row>
    <row r="5" spans="1:14" ht="15.75" x14ac:dyDescent="0.25">
      <c r="A5" s="98" t="s">
        <v>4</v>
      </c>
      <c r="B5" s="98"/>
      <c r="C5" s="99"/>
      <c r="D5" s="99"/>
      <c r="E5" s="99"/>
      <c r="F5" s="99"/>
      <c r="G5" s="99"/>
      <c r="H5" s="99"/>
      <c r="I5" s="2"/>
      <c r="J5" s="3"/>
      <c r="K5" s="2"/>
      <c r="L5" s="2"/>
      <c r="M5" s="4"/>
    </row>
    <row r="6" spans="1:14" ht="15.75" x14ac:dyDescent="0.25">
      <c r="A6" s="98" t="s">
        <v>8</v>
      </c>
      <c r="B6" s="98"/>
      <c r="C6" s="99"/>
      <c r="D6" s="99"/>
      <c r="E6" s="99"/>
      <c r="F6" s="99"/>
      <c r="G6" s="99"/>
      <c r="H6" s="99"/>
      <c r="I6" s="2"/>
      <c r="J6" s="3"/>
      <c r="K6" s="2"/>
      <c r="L6" s="2"/>
      <c r="M6" s="4"/>
    </row>
    <row r="7" spans="1:14" ht="15.75" x14ac:dyDescent="0.25">
      <c r="A7" s="98" t="s">
        <v>9</v>
      </c>
      <c r="B7" s="98"/>
      <c r="C7" s="97"/>
      <c r="D7" s="97"/>
      <c r="E7" s="97"/>
      <c r="F7" s="97"/>
      <c r="G7" s="97"/>
      <c r="H7" s="97"/>
      <c r="I7" s="2"/>
      <c r="J7" s="3"/>
      <c r="K7" s="2"/>
      <c r="L7" s="2"/>
      <c r="M7" s="4"/>
    </row>
    <row r="8" spans="1:14" ht="63" x14ac:dyDescent="0.25">
      <c r="A8" s="8" t="s">
        <v>10</v>
      </c>
      <c r="B8" s="9" t="s">
        <v>11</v>
      </c>
      <c r="C8" s="9" t="s">
        <v>12</v>
      </c>
      <c r="D8" s="9" t="s">
        <v>13</v>
      </c>
      <c r="E8" s="10" t="s">
        <v>14</v>
      </c>
      <c r="F8" s="10" t="s">
        <v>15</v>
      </c>
      <c r="G8" s="9" t="s">
        <v>16</v>
      </c>
      <c r="H8" s="9" t="s">
        <v>17</v>
      </c>
      <c r="I8" s="2"/>
      <c r="J8" s="3"/>
      <c r="K8" s="2"/>
      <c r="L8" s="2"/>
      <c r="M8" s="4"/>
    </row>
    <row r="9" spans="1:14" ht="15.75" x14ac:dyDescent="0.25">
      <c r="A9" s="8">
        <v>1</v>
      </c>
      <c r="B9" s="9">
        <v>2</v>
      </c>
      <c r="C9" s="8">
        <v>3</v>
      </c>
      <c r="D9" s="9">
        <v>4</v>
      </c>
      <c r="E9" s="8">
        <v>5</v>
      </c>
      <c r="F9" s="9">
        <v>6</v>
      </c>
      <c r="G9" s="8">
        <v>7</v>
      </c>
      <c r="H9" s="9">
        <v>8</v>
      </c>
      <c r="I9" s="2"/>
      <c r="J9" s="3"/>
      <c r="K9" s="2"/>
      <c r="L9" s="2"/>
      <c r="M9" s="4"/>
    </row>
    <row r="10" spans="1:14" ht="15.75" x14ac:dyDescent="0.25">
      <c r="A10" s="100" t="s">
        <v>18</v>
      </c>
      <c r="B10" s="101"/>
      <c r="C10" s="101"/>
      <c r="D10" s="101"/>
      <c r="E10" s="101"/>
      <c r="F10" s="101"/>
      <c r="G10" s="101"/>
      <c r="H10" s="102"/>
      <c r="I10" s="11"/>
      <c r="J10" s="12"/>
      <c r="K10" s="2"/>
      <c r="L10" s="2"/>
      <c r="M10" s="13"/>
    </row>
    <row r="11" spans="1:14" ht="15.75" x14ac:dyDescent="0.25">
      <c r="A11" s="14">
        <v>1</v>
      </c>
      <c r="B11" s="15"/>
      <c r="C11" s="16"/>
      <c r="D11" s="17"/>
      <c r="E11" s="15"/>
      <c r="F11" s="15"/>
      <c r="G11" s="15"/>
      <c r="H11" s="18" t="str">
        <f t="shared" ref="H11:H74" si="0">I11&amp;J11</f>
        <v>лист 0</v>
      </c>
      <c r="I11" s="11" t="s">
        <v>19</v>
      </c>
      <c r="J11" s="12">
        <f>SUM(E11)</f>
        <v>0</v>
      </c>
      <c r="K11" s="2"/>
      <c r="M11" s="19"/>
      <c r="N11" s="20"/>
    </row>
    <row r="12" spans="1:14" ht="15.75" x14ac:dyDescent="0.25">
      <c r="A12" s="14">
        <v>2</v>
      </c>
      <c r="B12" s="21"/>
      <c r="C12" s="22"/>
      <c r="D12" s="23"/>
      <c r="E12" s="21"/>
      <c r="F12" s="21"/>
      <c r="H12" s="11" t="str">
        <f t="shared" si="0"/>
        <v>лист 0</v>
      </c>
      <c r="I12" s="11" t="s">
        <v>19</v>
      </c>
      <c r="J12" s="12">
        <f t="shared" ref="J12" si="1">J11+E11+K12</f>
        <v>0</v>
      </c>
      <c r="K12" s="2"/>
      <c r="M12" s="19"/>
    </row>
    <row r="13" spans="1:14" ht="15.75" x14ac:dyDescent="0.25">
      <c r="A13" s="14">
        <v>3</v>
      </c>
      <c r="B13" s="21"/>
      <c r="C13" s="22"/>
      <c r="D13" s="21"/>
      <c r="E13" s="21"/>
      <c r="F13" s="21"/>
      <c r="G13" s="15"/>
      <c r="H13" s="11" t="str">
        <f t="shared" ref="H13:H71" si="2">I13&amp;J13</f>
        <v>лист 0</v>
      </c>
      <c r="I13" s="11" t="s">
        <v>19</v>
      </c>
      <c r="J13" s="12">
        <f t="shared" ref="J13:J71" si="3">J12+E12+K13</f>
        <v>0</v>
      </c>
      <c r="K13" s="2"/>
      <c r="M13" s="19"/>
    </row>
    <row r="14" spans="1:14" ht="15.75" x14ac:dyDescent="0.25">
      <c r="A14" s="14">
        <v>4</v>
      </c>
      <c r="B14" s="15"/>
      <c r="C14" s="16"/>
      <c r="D14" s="17"/>
      <c r="E14" s="15"/>
      <c r="F14" s="15"/>
      <c r="G14" s="15"/>
      <c r="H14" s="11" t="str">
        <f t="shared" si="2"/>
        <v>лист 0</v>
      </c>
      <c r="I14" s="11" t="s">
        <v>19</v>
      </c>
      <c r="J14" s="12">
        <f t="shared" si="3"/>
        <v>0</v>
      </c>
      <c r="K14" s="2"/>
      <c r="M14" s="19"/>
      <c r="N14" s="20"/>
    </row>
    <row r="15" spans="1:14" ht="15.75" x14ac:dyDescent="0.25">
      <c r="A15" s="14">
        <v>5</v>
      </c>
      <c r="B15" s="21"/>
      <c r="C15" s="22"/>
      <c r="D15" s="23"/>
      <c r="E15" s="21"/>
      <c r="F15" s="21"/>
      <c r="H15" s="11" t="str">
        <f t="shared" si="2"/>
        <v>лист 0</v>
      </c>
      <c r="I15" s="11" t="s">
        <v>19</v>
      </c>
      <c r="J15" s="12">
        <f t="shared" si="3"/>
        <v>0</v>
      </c>
      <c r="K15" s="2"/>
    </row>
    <row r="16" spans="1:14" ht="15.75" x14ac:dyDescent="0.25">
      <c r="A16" s="14">
        <v>6</v>
      </c>
      <c r="B16" s="21"/>
      <c r="C16" s="22"/>
      <c r="D16" s="21"/>
      <c r="E16" s="21"/>
      <c r="F16" s="21"/>
      <c r="G16" s="15"/>
      <c r="H16" s="11" t="str">
        <f t="shared" si="2"/>
        <v>лист 0</v>
      </c>
      <c r="I16" s="11" t="s">
        <v>19</v>
      </c>
      <c r="J16" s="12">
        <f t="shared" si="3"/>
        <v>0</v>
      </c>
      <c r="K16" s="2"/>
    </row>
    <row r="17" spans="1:14" ht="15.75" x14ac:dyDescent="0.25">
      <c r="A17" s="14">
        <v>7</v>
      </c>
      <c r="B17" s="15"/>
      <c r="C17" s="16"/>
      <c r="D17" s="17"/>
      <c r="E17" s="15"/>
      <c r="F17" s="15"/>
      <c r="G17" s="15"/>
      <c r="H17" s="11" t="str">
        <f t="shared" si="2"/>
        <v>лист 0</v>
      </c>
      <c r="I17" s="11" t="s">
        <v>19</v>
      </c>
      <c r="J17" s="12">
        <f t="shared" si="3"/>
        <v>0</v>
      </c>
      <c r="K17" s="2"/>
      <c r="M17" s="19"/>
      <c r="N17" s="20"/>
    </row>
    <row r="18" spans="1:14" ht="15.75" x14ac:dyDescent="0.25">
      <c r="A18" s="14">
        <v>8</v>
      </c>
      <c r="B18" s="21"/>
      <c r="C18" s="22"/>
      <c r="D18" s="23"/>
      <c r="E18" s="21"/>
      <c r="F18" s="21"/>
      <c r="H18" s="11" t="str">
        <f t="shared" si="2"/>
        <v>лист 0</v>
      </c>
      <c r="I18" s="11" t="s">
        <v>19</v>
      </c>
      <c r="J18" s="12">
        <f t="shared" si="3"/>
        <v>0</v>
      </c>
      <c r="K18" s="2"/>
    </row>
    <row r="19" spans="1:14" ht="15.75" x14ac:dyDescent="0.25">
      <c r="A19" s="14">
        <v>9</v>
      </c>
      <c r="B19" s="21"/>
      <c r="C19" s="22"/>
      <c r="D19" s="21"/>
      <c r="E19" s="21"/>
      <c r="F19" s="21"/>
      <c r="G19" s="15"/>
      <c r="H19" s="11" t="str">
        <f t="shared" si="2"/>
        <v>лист 0</v>
      </c>
      <c r="I19" s="11" t="s">
        <v>19</v>
      </c>
      <c r="J19" s="12">
        <f t="shared" si="3"/>
        <v>0</v>
      </c>
      <c r="K19" s="2"/>
    </row>
    <row r="20" spans="1:14" ht="15.75" x14ac:dyDescent="0.25">
      <c r="A20" s="14">
        <v>10</v>
      </c>
      <c r="B20" s="15"/>
      <c r="C20" s="16"/>
      <c r="D20" s="17"/>
      <c r="E20" s="15"/>
      <c r="F20" s="15"/>
      <c r="G20" s="15"/>
      <c r="H20" s="11" t="str">
        <f t="shared" si="2"/>
        <v>лист 0</v>
      </c>
      <c r="I20" s="11" t="s">
        <v>19</v>
      </c>
      <c r="J20" s="12">
        <f t="shared" si="3"/>
        <v>0</v>
      </c>
      <c r="K20" s="2"/>
      <c r="M20" s="24"/>
      <c r="N20" s="20"/>
    </row>
    <row r="21" spans="1:14" ht="15.75" x14ac:dyDescent="0.25">
      <c r="A21" s="14">
        <v>11</v>
      </c>
      <c r="B21" s="21"/>
      <c r="C21" s="22"/>
      <c r="D21" s="23"/>
      <c r="E21" s="21"/>
      <c r="F21" s="21"/>
      <c r="H21" s="11" t="str">
        <f t="shared" si="2"/>
        <v>лист 0</v>
      </c>
      <c r="I21" s="11" t="s">
        <v>19</v>
      </c>
      <c r="J21" s="12">
        <f t="shared" si="3"/>
        <v>0</v>
      </c>
      <c r="K21" s="2"/>
    </row>
    <row r="22" spans="1:14" ht="15.75" x14ac:dyDescent="0.25">
      <c r="A22" s="14">
        <v>12</v>
      </c>
      <c r="B22" s="21"/>
      <c r="C22" s="22"/>
      <c r="D22" s="21"/>
      <c r="E22" s="21"/>
      <c r="F22" s="21"/>
      <c r="G22" s="15"/>
      <c r="H22" s="11" t="str">
        <f t="shared" si="2"/>
        <v>лист 0</v>
      </c>
      <c r="I22" s="11" t="s">
        <v>19</v>
      </c>
      <c r="J22" s="12">
        <f t="shared" si="3"/>
        <v>0</v>
      </c>
      <c r="K22" s="2"/>
    </row>
    <row r="23" spans="1:14" ht="15.75" x14ac:dyDescent="0.25">
      <c r="A23" s="14">
        <v>13</v>
      </c>
      <c r="B23" s="15"/>
      <c r="C23" s="16"/>
      <c r="D23" s="17"/>
      <c r="E23" s="15"/>
      <c r="F23" s="15"/>
      <c r="G23" s="15"/>
      <c r="H23" s="11" t="str">
        <f t="shared" si="2"/>
        <v>лист 0</v>
      </c>
      <c r="I23" s="11" t="s">
        <v>19</v>
      </c>
      <c r="J23" s="12">
        <f t="shared" si="3"/>
        <v>0</v>
      </c>
      <c r="K23" s="2"/>
      <c r="M23" s="19"/>
      <c r="N23" s="20"/>
    </row>
    <row r="24" spans="1:14" ht="15.75" x14ac:dyDescent="0.25">
      <c r="A24" s="14">
        <v>14</v>
      </c>
      <c r="B24" s="21"/>
      <c r="C24" s="22"/>
      <c r="D24" s="23"/>
      <c r="E24" s="21"/>
      <c r="F24" s="21"/>
      <c r="H24" s="11" t="str">
        <f t="shared" si="2"/>
        <v>лист 0</v>
      </c>
      <c r="I24" s="11" t="s">
        <v>19</v>
      </c>
      <c r="J24" s="12">
        <f t="shared" si="3"/>
        <v>0</v>
      </c>
      <c r="K24" s="2"/>
    </row>
    <row r="25" spans="1:14" ht="15.75" x14ac:dyDescent="0.25">
      <c r="A25" s="14">
        <v>15</v>
      </c>
      <c r="B25" s="21"/>
      <c r="C25" s="22"/>
      <c r="D25" s="21"/>
      <c r="E25" s="21"/>
      <c r="F25" s="21"/>
      <c r="G25" s="15"/>
      <c r="H25" s="11" t="str">
        <f t="shared" si="2"/>
        <v>лист 0</v>
      </c>
      <c r="I25" s="11" t="s">
        <v>19</v>
      </c>
      <c r="J25" s="12">
        <f t="shared" si="3"/>
        <v>0</v>
      </c>
      <c r="K25" s="2"/>
    </row>
    <row r="26" spans="1:14" ht="15.75" x14ac:dyDescent="0.25">
      <c r="A26" s="14">
        <v>16</v>
      </c>
      <c r="B26" s="15"/>
      <c r="C26" s="16"/>
      <c r="D26" s="17"/>
      <c r="E26" s="15"/>
      <c r="F26" s="15"/>
      <c r="G26" s="15"/>
      <c r="H26" s="11" t="str">
        <f t="shared" si="2"/>
        <v>лист 0</v>
      </c>
      <c r="I26" s="11" t="s">
        <v>19</v>
      </c>
      <c r="J26" s="12">
        <f t="shared" si="3"/>
        <v>0</v>
      </c>
      <c r="K26" s="2"/>
      <c r="M26" s="19"/>
      <c r="N26" s="20"/>
    </row>
    <row r="27" spans="1:14" ht="15.75" x14ac:dyDescent="0.25">
      <c r="A27" s="14">
        <v>17</v>
      </c>
      <c r="B27" s="21"/>
      <c r="C27" s="22"/>
      <c r="D27" s="23"/>
      <c r="E27" s="21"/>
      <c r="F27" s="21"/>
      <c r="H27" s="11" t="str">
        <f t="shared" si="2"/>
        <v>лист 0</v>
      </c>
      <c r="I27" s="11" t="s">
        <v>19</v>
      </c>
      <c r="J27" s="12">
        <f t="shared" si="3"/>
        <v>0</v>
      </c>
      <c r="K27" s="2"/>
    </row>
    <row r="28" spans="1:14" ht="15.75" x14ac:dyDescent="0.25">
      <c r="A28" s="14">
        <v>18</v>
      </c>
      <c r="B28" s="15"/>
      <c r="C28" s="16"/>
      <c r="D28" s="17"/>
      <c r="E28" s="15"/>
      <c r="F28" s="15"/>
      <c r="G28" s="15"/>
      <c r="H28" s="11" t="str">
        <f t="shared" si="2"/>
        <v>лист 0</v>
      </c>
      <c r="I28" s="11" t="s">
        <v>19</v>
      </c>
      <c r="J28" s="12">
        <f t="shared" si="3"/>
        <v>0</v>
      </c>
      <c r="K28" s="2"/>
      <c r="M28" s="19"/>
      <c r="N28" s="20"/>
    </row>
    <row r="29" spans="1:14" ht="15.75" x14ac:dyDescent="0.25">
      <c r="A29" s="14">
        <v>19</v>
      </c>
      <c r="B29" s="21"/>
      <c r="C29" s="22"/>
      <c r="D29" s="23"/>
      <c r="E29" s="21"/>
      <c r="F29" s="21"/>
      <c r="H29" s="11" t="str">
        <f t="shared" si="2"/>
        <v>лист 0</v>
      </c>
      <c r="I29" s="11" t="s">
        <v>19</v>
      </c>
      <c r="J29" s="12">
        <f t="shared" si="3"/>
        <v>0</v>
      </c>
      <c r="K29" s="2"/>
    </row>
    <row r="30" spans="1:14" ht="15.75" x14ac:dyDescent="0.25">
      <c r="A30" s="14">
        <v>20</v>
      </c>
      <c r="B30" s="21"/>
      <c r="C30" s="22"/>
      <c r="D30" s="21"/>
      <c r="E30" s="21"/>
      <c r="F30" s="21"/>
      <c r="G30" s="15"/>
      <c r="H30" s="11" t="str">
        <f t="shared" si="2"/>
        <v>лист 0</v>
      </c>
      <c r="I30" s="11" t="s">
        <v>19</v>
      </c>
      <c r="J30" s="12">
        <f t="shared" si="3"/>
        <v>0</v>
      </c>
      <c r="K30" s="2"/>
    </row>
    <row r="31" spans="1:14" ht="15.75" x14ac:dyDescent="0.25">
      <c r="A31" s="14">
        <v>21</v>
      </c>
      <c r="B31" s="15"/>
      <c r="C31" s="16"/>
      <c r="D31" s="17"/>
      <c r="E31" s="15"/>
      <c r="F31" s="15"/>
      <c r="G31" s="15"/>
      <c r="H31" s="11" t="str">
        <f t="shared" si="2"/>
        <v>лист 0</v>
      </c>
      <c r="I31" s="11" t="s">
        <v>19</v>
      </c>
      <c r="J31" s="12">
        <f t="shared" si="3"/>
        <v>0</v>
      </c>
      <c r="K31" s="2"/>
      <c r="M31" s="19"/>
      <c r="N31" s="20"/>
    </row>
    <row r="32" spans="1:14" ht="15.75" x14ac:dyDescent="0.25">
      <c r="A32" s="14">
        <v>22</v>
      </c>
      <c r="B32" s="21"/>
      <c r="C32" s="22"/>
      <c r="D32" s="23"/>
      <c r="E32" s="21"/>
      <c r="F32" s="21"/>
      <c r="H32" s="11" t="str">
        <f t="shared" si="2"/>
        <v>лист 0</v>
      </c>
      <c r="I32" s="11" t="s">
        <v>19</v>
      </c>
      <c r="J32" s="12">
        <f t="shared" si="3"/>
        <v>0</v>
      </c>
      <c r="K32" s="2"/>
    </row>
    <row r="33" spans="1:14" ht="15.75" x14ac:dyDescent="0.25">
      <c r="A33" s="14">
        <v>23</v>
      </c>
      <c r="B33" s="21"/>
      <c r="C33" s="22"/>
      <c r="D33" s="21"/>
      <c r="E33" s="21"/>
      <c r="F33" s="21"/>
      <c r="G33" s="15"/>
      <c r="H33" s="11" t="str">
        <f t="shared" si="2"/>
        <v>лист 0</v>
      </c>
      <c r="I33" s="11" t="s">
        <v>19</v>
      </c>
      <c r="J33" s="12">
        <f t="shared" si="3"/>
        <v>0</v>
      </c>
      <c r="K33" s="2"/>
    </row>
    <row r="34" spans="1:14" ht="15.75" x14ac:dyDescent="0.25">
      <c r="A34" s="14">
        <v>24</v>
      </c>
      <c r="B34" s="15"/>
      <c r="C34" s="16"/>
      <c r="D34" s="17"/>
      <c r="E34" s="15"/>
      <c r="F34" s="15"/>
      <c r="G34" s="15"/>
      <c r="H34" s="11" t="str">
        <f t="shared" si="2"/>
        <v>лист 0</v>
      </c>
      <c r="I34" s="11" t="s">
        <v>19</v>
      </c>
      <c r="J34" s="12">
        <f t="shared" si="3"/>
        <v>0</v>
      </c>
      <c r="K34" s="2"/>
      <c r="M34" s="19"/>
      <c r="N34" s="20"/>
    </row>
    <row r="35" spans="1:14" ht="15.75" x14ac:dyDescent="0.25">
      <c r="A35" s="14">
        <v>25</v>
      </c>
      <c r="B35" s="21"/>
      <c r="C35" s="22"/>
      <c r="D35" s="23"/>
      <c r="E35" s="21"/>
      <c r="F35" s="21"/>
      <c r="H35" s="11" t="str">
        <f t="shared" si="2"/>
        <v>лист 0</v>
      </c>
      <c r="I35" s="11" t="s">
        <v>19</v>
      </c>
      <c r="J35" s="12">
        <f t="shared" si="3"/>
        <v>0</v>
      </c>
      <c r="K35" s="2"/>
    </row>
    <row r="36" spans="1:14" ht="15.75" x14ac:dyDescent="0.25">
      <c r="A36" s="14">
        <v>26</v>
      </c>
      <c r="B36" s="15"/>
      <c r="C36" s="16"/>
      <c r="D36" s="17"/>
      <c r="E36" s="15"/>
      <c r="F36" s="15"/>
      <c r="G36" s="15"/>
      <c r="H36" s="11" t="str">
        <f t="shared" si="2"/>
        <v>лист 0</v>
      </c>
      <c r="I36" s="11" t="s">
        <v>19</v>
      </c>
      <c r="J36" s="12">
        <f t="shared" si="3"/>
        <v>0</v>
      </c>
      <c r="K36" s="2"/>
      <c r="M36" s="19"/>
      <c r="N36" s="20"/>
    </row>
    <row r="37" spans="1:14" x14ac:dyDescent="0.25">
      <c r="A37" s="14">
        <v>27</v>
      </c>
      <c r="B37" s="21"/>
      <c r="C37" s="22"/>
      <c r="D37" s="23"/>
      <c r="E37" s="21"/>
      <c r="F37" s="21"/>
      <c r="H37" s="11" t="str">
        <f t="shared" si="2"/>
        <v>лист 0</v>
      </c>
      <c r="I37" s="11" t="s">
        <v>19</v>
      </c>
      <c r="J37" s="12">
        <f t="shared" si="3"/>
        <v>0</v>
      </c>
      <c r="K37" s="2"/>
    </row>
    <row r="38" spans="1:14" ht="15.75" x14ac:dyDescent="0.25">
      <c r="A38" s="14">
        <v>28</v>
      </c>
      <c r="B38" s="21"/>
      <c r="C38" s="22"/>
      <c r="D38" s="21"/>
      <c r="E38" s="21"/>
      <c r="F38" s="21"/>
      <c r="G38" s="15"/>
      <c r="H38" s="11" t="str">
        <f t="shared" si="2"/>
        <v>лист 0</v>
      </c>
      <c r="I38" s="11" t="s">
        <v>19</v>
      </c>
      <c r="J38" s="12">
        <f t="shared" si="3"/>
        <v>0</v>
      </c>
      <c r="K38" s="2"/>
    </row>
    <row r="39" spans="1:14" ht="15.75" x14ac:dyDescent="0.25">
      <c r="A39" s="14">
        <v>29</v>
      </c>
      <c r="B39" s="15"/>
      <c r="C39" s="16"/>
      <c r="D39" s="17"/>
      <c r="E39" s="15"/>
      <c r="F39" s="15"/>
      <c r="G39" s="15"/>
      <c r="H39" s="11" t="str">
        <f t="shared" si="2"/>
        <v>лист 0</v>
      </c>
      <c r="I39" s="11" t="s">
        <v>19</v>
      </c>
      <c r="J39" s="12">
        <f t="shared" si="3"/>
        <v>0</v>
      </c>
      <c r="K39" s="2"/>
      <c r="M39" s="19"/>
      <c r="N39" s="20"/>
    </row>
    <row r="40" spans="1:14" ht="15.75" x14ac:dyDescent="0.25">
      <c r="A40" s="14">
        <v>30</v>
      </c>
      <c r="B40" s="21"/>
      <c r="C40" s="22"/>
      <c r="D40" s="23"/>
      <c r="E40" s="21"/>
      <c r="F40" s="21"/>
      <c r="H40" s="11" t="str">
        <f t="shared" si="2"/>
        <v>лист 0</v>
      </c>
      <c r="I40" s="11" t="s">
        <v>19</v>
      </c>
      <c r="J40" s="12">
        <f t="shared" si="3"/>
        <v>0</v>
      </c>
      <c r="K40" s="2"/>
    </row>
    <row r="41" spans="1:14" ht="15.75" x14ac:dyDescent="0.25">
      <c r="A41" s="14">
        <v>31</v>
      </c>
      <c r="B41" s="21"/>
      <c r="C41" s="22"/>
      <c r="D41" s="21"/>
      <c r="E41" s="21"/>
      <c r="F41" s="21"/>
      <c r="G41" s="15"/>
      <c r="H41" s="11" t="str">
        <f t="shared" si="2"/>
        <v>лист 0</v>
      </c>
      <c r="I41" s="11" t="s">
        <v>19</v>
      </c>
      <c r="J41" s="12">
        <f t="shared" si="3"/>
        <v>0</v>
      </c>
      <c r="K41" s="2"/>
    </row>
    <row r="42" spans="1:14" ht="15.75" x14ac:dyDescent="0.25">
      <c r="A42" s="14">
        <v>32</v>
      </c>
      <c r="B42" s="15"/>
      <c r="C42" s="16"/>
      <c r="D42" s="17"/>
      <c r="E42" s="15"/>
      <c r="F42" s="15"/>
      <c r="G42" s="15"/>
      <c r="H42" s="11" t="str">
        <f t="shared" si="2"/>
        <v>лист 0</v>
      </c>
      <c r="I42" s="11" t="s">
        <v>19</v>
      </c>
      <c r="J42" s="12">
        <f t="shared" si="3"/>
        <v>0</v>
      </c>
      <c r="K42" s="2"/>
      <c r="M42" s="19"/>
      <c r="N42" s="20"/>
    </row>
    <row r="43" spans="1:14" ht="15.75" x14ac:dyDescent="0.25">
      <c r="A43" s="14">
        <v>33</v>
      </c>
      <c r="B43" s="21"/>
      <c r="C43" s="22"/>
      <c r="D43" s="23"/>
      <c r="E43" s="21"/>
      <c r="F43" s="21"/>
      <c r="H43" s="11" t="str">
        <f t="shared" si="2"/>
        <v>лист 0</v>
      </c>
      <c r="I43" s="11" t="s">
        <v>19</v>
      </c>
      <c r="J43" s="12">
        <f t="shared" si="3"/>
        <v>0</v>
      </c>
      <c r="K43" s="2"/>
    </row>
    <row r="44" spans="1:14" ht="15.75" x14ac:dyDescent="0.25">
      <c r="A44" s="14">
        <v>34</v>
      </c>
      <c r="B44" s="21"/>
      <c r="C44" s="22"/>
      <c r="D44" s="21"/>
      <c r="E44" s="21"/>
      <c r="F44" s="21"/>
      <c r="G44" s="15"/>
      <c r="H44" s="11" t="str">
        <f t="shared" si="2"/>
        <v>лист 0</v>
      </c>
      <c r="I44" s="11" t="s">
        <v>19</v>
      </c>
      <c r="J44" s="12">
        <f t="shared" si="3"/>
        <v>0</v>
      </c>
      <c r="K44" s="2"/>
    </row>
    <row r="45" spans="1:14" ht="15.75" x14ac:dyDescent="0.25">
      <c r="A45" s="14">
        <v>35</v>
      </c>
      <c r="B45" s="15"/>
      <c r="C45" s="16"/>
      <c r="D45" s="17"/>
      <c r="E45" s="15"/>
      <c r="F45" s="15"/>
      <c r="G45" s="15"/>
      <c r="H45" s="11" t="str">
        <f t="shared" si="2"/>
        <v>лист 0</v>
      </c>
      <c r="I45" s="11" t="s">
        <v>19</v>
      </c>
      <c r="J45" s="12">
        <f t="shared" si="3"/>
        <v>0</v>
      </c>
      <c r="K45" s="2"/>
      <c r="M45" s="19"/>
      <c r="N45" s="20"/>
    </row>
    <row r="46" spans="1:14" ht="15.75" x14ac:dyDescent="0.25">
      <c r="A46" s="14">
        <v>36</v>
      </c>
      <c r="B46" s="21"/>
      <c r="C46" s="22"/>
      <c r="D46" s="23"/>
      <c r="E46" s="21"/>
      <c r="F46" s="21"/>
      <c r="H46" s="11" t="str">
        <f t="shared" si="2"/>
        <v>лист 0</v>
      </c>
      <c r="I46" s="11" t="s">
        <v>19</v>
      </c>
      <c r="J46" s="12">
        <f t="shared" si="3"/>
        <v>0</v>
      </c>
      <c r="K46" s="2"/>
    </row>
    <row r="47" spans="1:14" ht="15.75" x14ac:dyDescent="0.25">
      <c r="A47" s="14">
        <v>37</v>
      </c>
      <c r="B47" s="21"/>
      <c r="C47" s="22"/>
      <c r="D47" s="21"/>
      <c r="E47" s="21"/>
      <c r="F47" s="21"/>
      <c r="G47" s="15"/>
      <c r="H47" s="11" t="str">
        <f t="shared" si="2"/>
        <v>лист 0</v>
      </c>
      <c r="I47" s="11" t="s">
        <v>19</v>
      </c>
      <c r="J47" s="12">
        <f t="shared" si="3"/>
        <v>0</v>
      </c>
      <c r="K47" s="2"/>
    </row>
    <row r="48" spans="1:14" ht="15.75" x14ac:dyDescent="0.25">
      <c r="A48" s="14">
        <v>38</v>
      </c>
      <c r="B48" s="15"/>
      <c r="C48" s="16"/>
      <c r="D48" s="17"/>
      <c r="E48" s="15"/>
      <c r="F48" s="15"/>
      <c r="G48" s="15"/>
      <c r="H48" s="11" t="str">
        <f t="shared" si="2"/>
        <v>лист 0</v>
      </c>
      <c r="I48" s="11" t="s">
        <v>19</v>
      </c>
      <c r="J48" s="12">
        <f t="shared" si="3"/>
        <v>0</v>
      </c>
      <c r="K48" s="2"/>
      <c r="M48" s="19"/>
      <c r="N48" s="20"/>
    </row>
    <row r="49" spans="1:14" ht="15.75" x14ac:dyDescent="0.25">
      <c r="A49" s="14">
        <v>39</v>
      </c>
      <c r="B49" s="21"/>
      <c r="C49" s="22"/>
      <c r="D49" s="23"/>
      <c r="E49" s="21"/>
      <c r="F49" s="21"/>
      <c r="H49" s="11" t="str">
        <f t="shared" si="2"/>
        <v>лист 0</v>
      </c>
      <c r="I49" s="11" t="s">
        <v>19</v>
      </c>
      <c r="J49" s="12">
        <f t="shared" si="3"/>
        <v>0</v>
      </c>
      <c r="K49" s="2"/>
    </row>
    <row r="50" spans="1:14" ht="15.75" x14ac:dyDescent="0.25">
      <c r="A50" s="14">
        <v>40</v>
      </c>
      <c r="B50" s="21"/>
      <c r="C50" s="22"/>
      <c r="D50" s="21"/>
      <c r="E50" s="21"/>
      <c r="F50" s="21"/>
      <c r="G50" s="15"/>
      <c r="H50" s="11" t="str">
        <f t="shared" si="2"/>
        <v>лист 0</v>
      </c>
      <c r="I50" s="11" t="s">
        <v>19</v>
      </c>
      <c r="J50" s="12">
        <f t="shared" si="3"/>
        <v>0</v>
      </c>
      <c r="K50" s="2"/>
    </row>
    <row r="51" spans="1:14" ht="15.75" x14ac:dyDescent="0.25">
      <c r="A51" s="14">
        <v>41</v>
      </c>
      <c r="B51" s="15"/>
      <c r="C51" s="16"/>
      <c r="D51" s="17"/>
      <c r="E51" s="15"/>
      <c r="F51" s="15"/>
      <c r="G51" s="15"/>
      <c r="H51" s="11" t="str">
        <f t="shared" si="2"/>
        <v>лист 0</v>
      </c>
      <c r="I51" s="11" t="s">
        <v>19</v>
      </c>
      <c r="J51" s="12">
        <f t="shared" si="3"/>
        <v>0</v>
      </c>
      <c r="K51" s="2"/>
      <c r="M51" s="19"/>
      <c r="N51" s="20"/>
    </row>
    <row r="52" spans="1:14" ht="15.75" x14ac:dyDescent="0.25">
      <c r="A52" s="14">
        <v>42</v>
      </c>
      <c r="B52" s="21"/>
      <c r="C52" s="22"/>
      <c r="D52" s="23"/>
      <c r="E52" s="21"/>
      <c r="F52" s="21"/>
      <c r="H52" s="11" t="str">
        <f t="shared" si="2"/>
        <v>лист 0</v>
      </c>
      <c r="I52" s="11" t="s">
        <v>19</v>
      </c>
      <c r="J52" s="12">
        <f t="shared" si="3"/>
        <v>0</v>
      </c>
      <c r="K52" s="2"/>
    </row>
    <row r="53" spans="1:14" ht="15.75" x14ac:dyDescent="0.25">
      <c r="A53" s="14">
        <v>43</v>
      </c>
      <c r="B53" s="21"/>
      <c r="C53" s="22"/>
      <c r="D53" s="21"/>
      <c r="E53" s="21"/>
      <c r="F53" s="21"/>
      <c r="G53" s="15"/>
      <c r="H53" s="11" t="str">
        <f t="shared" si="2"/>
        <v>лист 0</v>
      </c>
      <c r="I53" s="11" t="s">
        <v>19</v>
      </c>
      <c r="J53" s="12">
        <f t="shared" si="3"/>
        <v>0</v>
      </c>
      <c r="K53" s="2"/>
    </row>
    <row r="54" spans="1:14" ht="15.75" x14ac:dyDescent="0.25">
      <c r="A54" s="14">
        <v>44</v>
      </c>
      <c r="B54" s="15"/>
      <c r="C54" s="16"/>
      <c r="D54" s="17"/>
      <c r="E54" s="15"/>
      <c r="F54" s="15"/>
      <c r="G54" s="15"/>
      <c r="H54" s="11" t="str">
        <f t="shared" si="2"/>
        <v>лист 0</v>
      </c>
      <c r="I54" s="11" t="s">
        <v>19</v>
      </c>
      <c r="J54" s="12">
        <f t="shared" si="3"/>
        <v>0</v>
      </c>
      <c r="K54" s="2"/>
      <c r="M54" s="19"/>
      <c r="N54" s="20"/>
    </row>
    <row r="55" spans="1:14" ht="15.75" x14ac:dyDescent="0.25">
      <c r="A55" s="14">
        <v>45</v>
      </c>
      <c r="B55" s="21"/>
      <c r="C55" s="22"/>
      <c r="D55" s="23"/>
      <c r="E55" s="21"/>
      <c r="F55" s="21"/>
      <c r="H55" s="11" t="str">
        <f t="shared" si="2"/>
        <v>лист 0</v>
      </c>
      <c r="I55" s="11" t="s">
        <v>19</v>
      </c>
      <c r="J55" s="12">
        <f t="shared" si="3"/>
        <v>0</v>
      </c>
      <c r="K55" s="2"/>
    </row>
    <row r="56" spans="1:14" ht="15.75" x14ac:dyDescent="0.25">
      <c r="A56" s="14">
        <v>46</v>
      </c>
      <c r="B56" s="21"/>
      <c r="C56" s="22"/>
      <c r="D56" s="21"/>
      <c r="E56" s="21"/>
      <c r="F56" s="21"/>
      <c r="G56" s="15"/>
      <c r="H56" s="11" t="str">
        <f t="shared" si="2"/>
        <v>лист 0</v>
      </c>
      <c r="I56" s="11" t="s">
        <v>19</v>
      </c>
      <c r="J56" s="12">
        <f t="shared" si="3"/>
        <v>0</v>
      </c>
      <c r="K56" s="2"/>
    </row>
    <row r="57" spans="1:14" ht="15.75" x14ac:dyDescent="0.25">
      <c r="A57" s="14">
        <v>47</v>
      </c>
      <c r="B57" s="15"/>
      <c r="C57" s="16"/>
      <c r="D57" s="17"/>
      <c r="E57" s="15"/>
      <c r="F57" s="15"/>
      <c r="G57" s="15"/>
      <c r="H57" s="11" t="str">
        <f t="shared" si="2"/>
        <v>лист 0</v>
      </c>
      <c r="I57" s="11" t="s">
        <v>19</v>
      </c>
      <c r="J57" s="12">
        <f t="shared" si="3"/>
        <v>0</v>
      </c>
      <c r="K57" s="2"/>
      <c r="M57" s="19"/>
      <c r="N57" s="20"/>
    </row>
    <row r="58" spans="1:14" ht="15.75" x14ac:dyDescent="0.25">
      <c r="A58" s="14">
        <v>48</v>
      </c>
      <c r="B58" s="21"/>
      <c r="C58" s="22"/>
      <c r="D58" s="23"/>
      <c r="E58" s="21"/>
      <c r="F58" s="21"/>
      <c r="H58" s="11" t="str">
        <f t="shared" si="2"/>
        <v>лист 0</v>
      </c>
      <c r="I58" s="11" t="s">
        <v>19</v>
      </c>
      <c r="J58" s="12">
        <f t="shared" si="3"/>
        <v>0</v>
      </c>
      <c r="K58" s="2"/>
    </row>
    <row r="59" spans="1:14" ht="15.75" x14ac:dyDescent="0.25">
      <c r="A59" s="14">
        <v>49</v>
      </c>
      <c r="B59" s="21"/>
      <c r="C59" s="22"/>
      <c r="D59" s="21"/>
      <c r="E59" s="21"/>
      <c r="F59" s="21"/>
      <c r="G59" s="15"/>
      <c r="H59" s="11" t="str">
        <f t="shared" si="2"/>
        <v>лист 0</v>
      </c>
      <c r="I59" s="11" t="s">
        <v>19</v>
      </c>
      <c r="J59" s="12">
        <f t="shared" si="3"/>
        <v>0</v>
      </c>
      <c r="K59" s="2"/>
    </row>
    <row r="60" spans="1:14" ht="15.75" x14ac:dyDescent="0.25">
      <c r="A60" s="14">
        <v>50</v>
      </c>
      <c r="B60" s="15"/>
      <c r="C60" s="16"/>
      <c r="D60" s="17"/>
      <c r="E60" s="15"/>
      <c r="F60" s="15"/>
      <c r="G60" s="15"/>
      <c r="H60" s="11" t="str">
        <f t="shared" si="2"/>
        <v>лист 0</v>
      </c>
      <c r="I60" s="11" t="s">
        <v>19</v>
      </c>
      <c r="J60" s="12">
        <f t="shared" si="3"/>
        <v>0</v>
      </c>
      <c r="K60" s="2"/>
      <c r="M60" s="24"/>
      <c r="N60" s="20"/>
    </row>
    <row r="61" spans="1:14" ht="15.75" x14ac:dyDescent="0.25">
      <c r="A61" s="14">
        <v>51</v>
      </c>
      <c r="B61" s="21"/>
      <c r="C61" s="22"/>
      <c r="D61" s="23"/>
      <c r="E61" s="21"/>
      <c r="F61" s="21"/>
      <c r="H61" s="11" t="str">
        <f t="shared" si="2"/>
        <v>лист 0</v>
      </c>
      <c r="I61" s="11" t="s">
        <v>19</v>
      </c>
      <c r="J61" s="12">
        <f t="shared" si="3"/>
        <v>0</v>
      </c>
      <c r="K61" s="2"/>
    </row>
    <row r="62" spans="1:14" ht="15.75" x14ac:dyDescent="0.25">
      <c r="A62" s="14">
        <v>52</v>
      </c>
      <c r="B62" s="21"/>
      <c r="C62" s="22"/>
      <c r="D62" s="21"/>
      <c r="E62" s="21"/>
      <c r="F62" s="21"/>
      <c r="G62" s="15"/>
      <c r="H62" s="11" t="str">
        <f t="shared" si="2"/>
        <v>лист 0</v>
      </c>
      <c r="I62" s="11" t="s">
        <v>19</v>
      </c>
      <c r="J62" s="12">
        <f t="shared" si="3"/>
        <v>0</v>
      </c>
      <c r="K62" s="2"/>
    </row>
    <row r="63" spans="1:14" ht="15.75" x14ac:dyDescent="0.25">
      <c r="A63" s="14">
        <v>53</v>
      </c>
      <c r="B63" s="15"/>
      <c r="C63" s="16"/>
      <c r="D63" s="17"/>
      <c r="E63" s="15"/>
      <c r="F63" s="15"/>
      <c r="G63" s="15"/>
      <c r="H63" s="11" t="str">
        <f t="shared" si="2"/>
        <v>лист 0</v>
      </c>
      <c r="I63" s="11" t="s">
        <v>19</v>
      </c>
      <c r="J63" s="12">
        <f t="shared" si="3"/>
        <v>0</v>
      </c>
      <c r="K63" s="2"/>
      <c r="M63" s="94"/>
      <c r="N63" s="20"/>
    </row>
    <row r="64" spans="1:14" ht="15.75" x14ac:dyDescent="0.25">
      <c r="A64" s="14">
        <v>54</v>
      </c>
      <c r="B64" s="21"/>
      <c r="C64" s="22"/>
      <c r="D64" s="23"/>
      <c r="E64" s="21"/>
      <c r="F64" s="21"/>
      <c r="H64" s="11" t="str">
        <f t="shared" si="2"/>
        <v>лист 0</v>
      </c>
      <c r="I64" s="11" t="s">
        <v>19</v>
      </c>
      <c r="J64" s="12">
        <f t="shared" si="3"/>
        <v>0</v>
      </c>
      <c r="K64" s="2"/>
    </row>
    <row r="65" spans="1:14" ht="15.75" x14ac:dyDescent="0.25">
      <c r="A65" s="14">
        <v>55</v>
      </c>
      <c r="B65" s="21"/>
      <c r="C65" s="22"/>
      <c r="D65" s="21"/>
      <c r="E65" s="21"/>
      <c r="F65" s="21"/>
      <c r="G65" s="15"/>
      <c r="H65" s="11" t="str">
        <f t="shared" si="2"/>
        <v>лист 0</v>
      </c>
      <c r="I65" s="11" t="s">
        <v>19</v>
      </c>
      <c r="J65" s="12">
        <f t="shared" si="3"/>
        <v>0</v>
      </c>
      <c r="K65" s="2"/>
    </row>
    <row r="66" spans="1:14" ht="15.75" x14ac:dyDescent="0.25">
      <c r="A66" s="14">
        <v>56</v>
      </c>
      <c r="B66" s="15"/>
      <c r="C66" s="16"/>
      <c r="D66" s="17"/>
      <c r="E66" s="15"/>
      <c r="F66" s="15"/>
      <c r="G66" s="15"/>
      <c r="H66" s="11" t="str">
        <f t="shared" si="2"/>
        <v>лист 0</v>
      </c>
      <c r="I66" s="11" t="s">
        <v>19</v>
      </c>
      <c r="J66" s="12">
        <f t="shared" si="3"/>
        <v>0</v>
      </c>
      <c r="K66" s="2"/>
      <c r="M66" s="19"/>
      <c r="N66" s="20"/>
    </row>
    <row r="67" spans="1:14" ht="15.75" x14ac:dyDescent="0.25">
      <c r="A67" s="14">
        <v>57</v>
      </c>
      <c r="B67" s="21"/>
      <c r="C67" s="22"/>
      <c r="D67" s="23"/>
      <c r="E67" s="21"/>
      <c r="F67" s="21"/>
      <c r="H67" s="11" t="str">
        <f t="shared" si="2"/>
        <v>лист 0</v>
      </c>
      <c r="I67" s="11" t="s">
        <v>19</v>
      </c>
      <c r="J67" s="12">
        <f t="shared" si="3"/>
        <v>0</v>
      </c>
      <c r="K67" s="2"/>
    </row>
    <row r="68" spans="1:14" ht="15.75" x14ac:dyDescent="0.25">
      <c r="A68" s="14">
        <v>58</v>
      </c>
      <c r="B68" s="21"/>
      <c r="C68" s="22"/>
      <c r="D68" s="21"/>
      <c r="E68" s="21"/>
      <c r="F68" s="21"/>
      <c r="G68" s="15"/>
      <c r="H68" s="11" t="str">
        <f t="shared" si="2"/>
        <v>лист 0</v>
      </c>
      <c r="I68" s="11" t="s">
        <v>19</v>
      </c>
      <c r="J68" s="12">
        <f t="shared" si="3"/>
        <v>0</v>
      </c>
      <c r="K68" s="2"/>
    </row>
    <row r="69" spans="1:14" ht="15.75" x14ac:dyDescent="0.25">
      <c r="A69" s="14">
        <v>59</v>
      </c>
      <c r="B69" s="15"/>
      <c r="C69" s="16"/>
      <c r="D69" s="17"/>
      <c r="E69" s="15"/>
      <c r="F69" s="15"/>
      <c r="G69" s="15"/>
      <c r="H69" s="11" t="str">
        <f t="shared" si="2"/>
        <v>лист 0</v>
      </c>
      <c r="I69" s="11" t="s">
        <v>19</v>
      </c>
      <c r="J69" s="12">
        <f t="shared" si="3"/>
        <v>0</v>
      </c>
      <c r="K69" s="2"/>
      <c r="M69" s="24"/>
      <c r="N69" s="20"/>
    </row>
    <row r="70" spans="1:14" ht="15.75" x14ac:dyDescent="0.25">
      <c r="A70" s="14">
        <v>60</v>
      </c>
      <c r="B70" s="21"/>
      <c r="C70" s="22"/>
      <c r="D70" s="23"/>
      <c r="E70" s="21"/>
      <c r="F70" s="21"/>
      <c r="H70" s="11" t="str">
        <f t="shared" si="2"/>
        <v>лист 0</v>
      </c>
      <c r="I70" s="11" t="s">
        <v>19</v>
      </c>
      <c r="J70" s="12">
        <f t="shared" si="3"/>
        <v>0</v>
      </c>
      <c r="K70" s="2"/>
    </row>
    <row r="71" spans="1:14" ht="15.75" x14ac:dyDescent="0.25">
      <c r="A71" s="14">
        <v>61</v>
      </c>
      <c r="B71" s="21"/>
      <c r="C71" s="22"/>
      <c r="D71" s="21"/>
      <c r="E71" s="21"/>
      <c r="F71" s="21"/>
      <c r="G71" s="15"/>
      <c r="H71" s="11" t="str">
        <f t="shared" si="2"/>
        <v>лист 0</v>
      </c>
      <c r="I71" s="11" t="s">
        <v>19</v>
      </c>
      <c r="J71" s="12">
        <f t="shared" si="3"/>
        <v>0</v>
      </c>
      <c r="K71" s="2"/>
    </row>
    <row r="72" spans="1:14" ht="15.75" x14ac:dyDescent="0.25">
      <c r="A72" s="100" t="s">
        <v>23</v>
      </c>
      <c r="B72" s="101"/>
      <c r="C72" s="101"/>
      <c r="D72" s="101"/>
      <c r="E72" s="101"/>
      <c r="F72" s="101"/>
      <c r="G72" s="101"/>
      <c r="H72" s="102"/>
      <c r="I72" s="11"/>
      <c r="J72" s="12"/>
      <c r="K72" s="2"/>
      <c r="L72" s="2"/>
      <c r="M72" s="13"/>
    </row>
    <row r="73" spans="1:14" ht="15.75" x14ac:dyDescent="0.25">
      <c r="A73" s="91">
        <v>62</v>
      </c>
      <c r="B73" s="25"/>
      <c r="C73" s="26"/>
      <c r="D73" s="25"/>
      <c r="E73" s="25"/>
      <c r="F73" s="25"/>
      <c r="G73" s="25"/>
      <c r="H73" s="27" t="str">
        <f t="shared" si="0"/>
        <v>лист 0</v>
      </c>
      <c r="I73" s="27" t="s">
        <v>19</v>
      </c>
      <c r="J73" s="12">
        <f>J71+E71+K73</f>
        <v>0</v>
      </c>
      <c r="K73" s="2"/>
      <c r="L73" s="2"/>
      <c r="M73" s="13"/>
    </row>
    <row r="74" spans="1:14" ht="15.75" x14ac:dyDescent="0.25">
      <c r="A74" s="91">
        <v>63</v>
      </c>
      <c r="B74" s="25"/>
      <c r="C74" s="28"/>
      <c r="D74" s="29"/>
      <c r="E74" s="25"/>
      <c r="F74" s="25"/>
      <c r="G74" s="25"/>
      <c r="H74" s="27" t="str">
        <f t="shared" si="0"/>
        <v>лист 0</v>
      </c>
      <c r="I74" s="27" t="s">
        <v>19</v>
      </c>
      <c r="J74" s="12">
        <f t="shared" ref="J74:J137" si="4">J73+E73+K74</f>
        <v>0</v>
      </c>
      <c r="K74" s="2"/>
      <c r="L74" s="2"/>
      <c r="M74" s="13"/>
    </row>
    <row r="75" spans="1:14" ht="15.75" x14ac:dyDescent="0.25">
      <c r="A75" s="91">
        <v>64</v>
      </c>
      <c r="B75" s="25"/>
      <c r="C75" s="28"/>
      <c r="D75" s="29"/>
      <c r="E75" s="25"/>
      <c r="F75" s="25"/>
      <c r="G75" s="25"/>
      <c r="H75" s="27" t="str">
        <f t="shared" ref="H75:H138" si="5">I75&amp;J75</f>
        <v>лист 0</v>
      </c>
      <c r="I75" s="27" t="s">
        <v>19</v>
      </c>
      <c r="J75" s="12">
        <f t="shared" si="4"/>
        <v>0</v>
      </c>
      <c r="K75" s="2"/>
      <c r="L75" s="2"/>
      <c r="M75" s="13"/>
    </row>
    <row r="76" spans="1:14" ht="15.75" x14ac:dyDescent="0.25">
      <c r="A76" s="91">
        <v>65</v>
      </c>
      <c r="B76" s="25"/>
      <c r="C76" s="28"/>
      <c r="D76" s="29"/>
      <c r="E76" s="25"/>
      <c r="F76" s="25"/>
      <c r="G76" s="25"/>
      <c r="H76" s="27" t="str">
        <f t="shared" si="5"/>
        <v>лист 0</v>
      </c>
      <c r="I76" s="27" t="s">
        <v>19</v>
      </c>
      <c r="J76" s="12">
        <f t="shared" si="4"/>
        <v>0</v>
      </c>
      <c r="K76" s="2"/>
      <c r="L76" s="2"/>
      <c r="M76" s="13"/>
    </row>
    <row r="77" spans="1:14" ht="15.75" x14ac:dyDescent="0.25">
      <c r="A77" s="91">
        <v>66</v>
      </c>
      <c r="B77" s="25"/>
      <c r="C77" s="28"/>
      <c r="D77" s="30"/>
      <c r="E77" s="25"/>
      <c r="F77" s="25"/>
      <c r="G77" s="25"/>
      <c r="H77" s="27" t="str">
        <f t="shared" si="5"/>
        <v>лист 0</v>
      </c>
      <c r="I77" s="27" t="s">
        <v>19</v>
      </c>
      <c r="J77" s="12">
        <f t="shared" si="4"/>
        <v>0</v>
      </c>
      <c r="K77" s="2"/>
      <c r="L77" s="2"/>
      <c r="M77" s="13"/>
    </row>
    <row r="78" spans="1:14" ht="15.75" x14ac:dyDescent="0.25">
      <c r="A78" s="91">
        <v>67</v>
      </c>
      <c r="B78" s="25"/>
      <c r="C78" s="28"/>
      <c r="D78" s="30"/>
      <c r="E78" s="25"/>
      <c r="F78" s="25"/>
      <c r="G78" s="25"/>
      <c r="H78" s="27" t="str">
        <f t="shared" si="5"/>
        <v>лист 0</v>
      </c>
      <c r="I78" s="27" t="s">
        <v>19</v>
      </c>
      <c r="J78" s="12">
        <f t="shared" si="4"/>
        <v>0</v>
      </c>
      <c r="K78" s="2"/>
      <c r="L78" s="2"/>
      <c r="M78" s="13"/>
    </row>
    <row r="79" spans="1:14" ht="15.75" x14ac:dyDescent="0.25">
      <c r="A79" s="91">
        <v>68</v>
      </c>
      <c r="B79" s="25"/>
      <c r="C79" s="28"/>
      <c r="D79" s="30"/>
      <c r="E79" s="25"/>
      <c r="F79" s="25"/>
      <c r="G79" s="25"/>
      <c r="H79" s="27" t="str">
        <f t="shared" si="5"/>
        <v>лист 0</v>
      </c>
      <c r="I79" s="27" t="s">
        <v>19</v>
      </c>
      <c r="J79" s="12">
        <f t="shared" si="4"/>
        <v>0</v>
      </c>
      <c r="K79" s="2"/>
      <c r="L79" s="2"/>
      <c r="M79" s="13"/>
    </row>
    <row r="80" spans="1:14" ht="15.75" x14ac:dyDescent="0.25">
      <c r="A80" s="91">
        <v>69</v>
      </c>
      <c r="B80" s="25"/>
      <c r="C80" s="28"/>
      <c r="D80" s="30"/>
      <c r="E80" s="25"/>
      <c r="F80" s="25"/>
      <c r="G80" s="25"/>
      <c r="H80" s="27" t="str">
        <f t="shared" si="5"/>
        <v>лист 0</v>
      </c>
      <c r="I80" s="27" t="s">
        <v>19</v>
      </c>
      <c r="J80" s="12">
        <f t="shared" si="4"/>
        <v>0</v>
      </c>
      <c r="K80" s="2"/>
      <c r="L80" s="2"/>
      <c r="M80" s="13"/>
    </row>
    <row r="81" spans="1:13" ht="15.75" x14ac:dyDescent="0.25">
      <c r="A81" s="91">
        <v>70</v>
      </c>
      <c r="B81" s="25"/>
      <c r="C81" s="28"/>
      <c r="D81" s="29"/>
      <c r="E81" s="25"/>
      <c r="F81" s="25"/>
      <c r="G81" s="25"/>
      <c r="H81" s="27" t="str">
        <f t="shared" si="5"/>
        <v>лист 0</v>
      </c>
      <c r="I81" s="27" t="s">
        <v>19</v>
      </c>
      <c r="J81" s="12">
        <f t="shared" si="4"/>
        <v>0</v>
      </c>
      <c r="K81" s="2"/>
      <c r="L81" s="2"/>
      <c r="M81" s="13"/>
    </row>
    <row r="82" spans="1:13" ht="15.75" x14ac:dyDescent="0.25">
      <c r="A82" s="91">
        <v>71</v>
      </c>
      <c r="B82" s="25"/>
      <c r="C82" s="28"/>
      <c r="D82" s="29"/>
      <c r="E82" s="25"/>
      <c r="F82" s="25"/>
      <c r="G82" s="25"/>
      <c r="H82" s="27" t="str">
        <f t="shared" si="5"/>
        <v>лист 0</v>
      </c>
      <c r="I82" s="27" t="s">
        <v>19</v>
      </c>
      <c r="J82" s="12">
        <f t="shared" si="4"/>
        <v>0</v>
      </c>
      <c r="K82" s="2"/>
      <c r="L82" s="2"/>
      <c r="M82" s="13"/>
    </row>
    <row r="83" spans="1:13" ht="15.75" x14ac:dyDescent="0.25">
      <c r="A83" s="91">
        <v>72</v>
      </c>
      <c r="B83" s="25"/>
      <c r="C83" s="28"/>
      <c r="D83" s="29"/>
      <c r="E83" s="25"/>
      <c r="F83" s="25"/>
      <c r="G83" s="25"/>
      <c r="H83" s="27" t="str">
        <f t="shared" si="5"/>
        <v>лист 0</v>
      </c>
      <c r="I83" s="27" t="s">
        <v>19</v>
      </c>
      <c r="J83" s="12">
        <f t="shared" si="4"/>
        <v>0</v>
      </c>
      <c r="K83" s="2"/>
      <c r="L83" s="2"/>
      <c r="M83" s="13"/>
    </row>
    <row r="84" spans="1:13" ht="15.75" x14ac:dyDescent="0.25">
      <c r="A84" s="91">
        <v>73</v>
      </c>
      <c r="B84" s="25"/>
      <c r="C84" s="28"/>
      <c r="D84" s="31"/>
      <c r="E84" s="25"/>
      <c r="F84" s="25"/>
      <c r="G84" s="25"/>
      <c r="H84" s="27" t="str">
        <f t="shared" si="5"/>
        <v>лист 0</v>
      </c>
      <c r="I84" s="27" t="s">
        <v>19</v>
      </c>
      <c r="J84" s="12">
        <f t="shared" si="4"/>
        <v>0</v>
      </c>
      <c r="K84" s="2"/>
      <c r="L84" s="2"/>
      <c r="M84" s="13"/>
    </row>
    <row r="85" spans="1:13" ht="15.75" x14ac:dyDescent="0.25">
      <c r="A85" s="91">
        <v>74</v>
      </c>
      <c r="B85" s="25"/>
      <c r="C85" s="26"/>
      <c r="D85" s="25"/>
      <c r="E85" s="25"/>
      <c r="F85" s="25"/>
      <c r="G85" s="25"/>
      <c r="H85" s="27" t="str">
        <f t="shared" si="5"/>
        <v>лист 0</v>
      </c>
      <c r="I85" s="27" t="s">
        <v>19</v>
      </c>
      <c r="J85" s="12">
        <f t="shared" si="4"/>
        <v>0</v>
      </c>
      <c r="K85" s="2"/>
      <c r="L85" s="2"/>
      <c r="M85" s="13"/>
    </row>
    <row r="86" spans="1:13" ht="15.75" x14ac:dyDescent="0.25">
      <c r="A86" s="91">
        <v>75</v>
      </c>
      <c r="B86" s="25"/>
      <c r="C86" s="26"/>
      <c r="D86" s="29"/>
      <c r="E86" s="25"/>
      <c r="F86" s="25"/>
      <c r="G86" s="25"/>
      <c r="H86" s="27" t="str">
        <f t="shared" si="5"/>
        <v>лист 0</v>
      </c>
      <c r="I86" s="27" t="s">
        <v>19</v>
      </c>
      <c r="J86" s="12">
        <f t="shared" si="4"/>
        <v>0</v>
      </c>
      <c r="K86" s="2"/>
      <c r="L86" s="2"/>
      <c r="M86" s="13"/>
    </row>
    <row r="87" spans="1:13" ht="15.75" x14ac:dyDescent="0.25">
      <c r="A87" s="91">
        <v>76</v>
      </c>
      <c r="B87" s="25"/>
      <c r="C87" s="26"/>
      <c r="D87" s="29"/>
      <c r="E87" s="25"/>
      <c r="F87" s="25"/>
      <c r="G87" s="25"/>
      <c r="H87" s="27" t="str">
        <f t="shared" si="5"/>
        <v>лист 0</v>
      </c>
      <c r="I87" s="27" t="s">
        <v>19</v>
      </c>
      <c r="J87" s="12">
        <f t="shared" si="4"/>
        <v>0</v>
      </c>
      <c r="K87" s="2"/>
      <c r="L87" s="2"/>
      <c r="M87" s="13"/>
    </row>
    <row r="88" spans="1:13" ht="15.75" x14ac:dyDescent="0.25">
      <c r="A88" s="91">
        <v>77</v>
      </c>
      <c r="B88" s="25"/>
      <c r="C88" s="26"/>
      <c r="D88" s="25"/>
      <c r="E88" s="25"/>
      <c r="F88" s="25"/>
      <c r="G88" s="25"/>
      <c r="H88" s="27" t="str">
        <f t="shared" si="5"/>
        <v>лист 0</v>
      </c>
      <c r="I88" s="27" t="s">
        <v>19</v>
      </c>
      <c r="J88" s="12">
        <f t="shared" si="4"/>
        <v>0</v>
      </c>
      <c r="K88" s="2"/>
      <c r="L88" s="2"/>
      <c r="M88" s="13"/>
    </row>
    <row r="89" spans="1:13" ht="15.75" x14ac:dyDescent="0.25">
      <c r="A89" s="91">
        <v>78</v>
      </c>
      <c r="B89" s="32"/>
      <c r="C89" s="26"/>
      <c r="D89" s="30"/>
      <c r="E89" s="33"/>
      <c r="F89" s="34"/>
      <c r="G89" s="25"/>
      <c r="H89" s="27" t="str">
        <f t="shared" si="5"/>
        <v>лист 0</v>
      </c>
      <c r="I89" s="27" t="s">
        <v>19</v>
      </c>
      <c r="J89" s="12">
        <f t="shared" si="4"/>
        <v>0</v>
      </c>
      <c r="K89" s="2"/>
      <c r="L89" s="2"/>
      <c r="M89" s="13"/>
    </row>
    <row r="90" spans="1:13" ht="15.75" x14ac:dyDescent="0.25">
      <c r="A90" s="91">
        <v>79</v>
      </c>
      <c r="B90" s="32"/>
      <c r="C90" s="26"/>
      <c r="D90" s="35"/>
      <c r="E90" s="32"/>
      <c r="F90" s="34"/>
      <c r="G90" s="25"/>
      <c r="H90" s="27" t="str">
        <f t="shared" si="5"/>
        <v>лист 0</v>
      </c>
      <c r="I90" s="27" t="s">
        <v>19</v>
      </c>
      <c r="J90" s="12">
        <f t="shared" si="4"/>
        <v>0</v>
      </c>
      <c r="K90" s="2"/>
      <c r="L90" s="2"/>
      <c r="M90" s="13"/>
    </row>
    <row r="91" spans="1:13" ht="15.75" x14ac:dyDescent="0.25">
      <c r="A91" s="91">
        <v>80</v>
      </c>
      <c r="B91" s="32"/>
      <c r="C91" s="26"/>
      <c r="D91" s="35"/>
      <c r="E91" s="32"/>
      <c r="F91" s="34"/>
      <c r="G91" s="25"/>
      <c r="H91" s="27" t="str">
        <f t="shared" si="5"/>
        <v>лист 0</v>
      </c>
      <c r="I91" s="27" t="s">
        <v>19</v>
      </c>
      <c r="J91" s="12">
        <f t="shared" si="4"/>
        <v>0</v>
      </c>
      <c r="K91" s="2"/>
      <c r="L91" s="2"/>
      <c r="M91" s="13"/>
    </row>
    <row r="92" spans="1:13" ht="15.75" x14ac:dyDescent="0.25">
      <c r="A92" s="91">
        <v>81</v>
      </c>
      <c r="B92" s="32"/>
      <c r="C92" s="26"/>
      <c r="D92" s="30"/>
      <c r="E92" s="33"/>
      <c r="F92" s="34"/>
      <c r="G92" s="25"/>
      <c r="H92" s="27" t="str">
        <f t="shared" si="5"/>
        <v>лист 0</v>
      </c>
      <c r="I92" s="27" t="s">
        <v>19</v>
      </c>
      <c r="J92" s="12">
        <f t="shared" si="4"/>
        <v>0</v>
      </c>
      <c r="K92" s="2"/>
      <c r="L92" s="2"/>
      <c r="M92" s="13"/>
    </row>
    <row r="93" spans="1:13" ht="15.75" x14ac:dyDescent="0.25">
      <c r="A93" s="91">
        <v>82</v>
      </c>
      <c r="B93" s="32"/>
      <c r="C93" s="26"/>
      <c r="D93" s="30"/>
      <c r="E93" s="33"/>
      <c r="F93" s="34"/>
      <c r="G93" s="25"/>
      <c r="H93" s="27" t="str">
        <f t="shared" si="5"/>
        <v>лист 0</v>
      </c>
      <c r="I93" s="27" t="s">
        <v>19</v>
      </c>
      <c r="J93" s="12">
        <f t="shared" si="4"/>
        <v>0</v>
      </c>
      <c r="K93" s="2"/>
      <c r="L93" s="2"/>
      <c r="M93" s="13"/>
    </row>
    <row r="94" spans="1:13" ht="15.75" x14ac:dyDescent="0.25">
      <c r="A94" s="91">
        <v>83</v>
      </c>
      <c r="B94" s="32"/>
      <c r="C94" s="26"/>
      <c r="D94" s="30"/>
      <c r="E94" s="33"/>
      <c r="F94" s="34"/>
      <c r="G94" s="25"/>
      <c r="H94" s="27" t="str">
        <f t="shared" si="5"/>
        <v>лист 0</v>
      </c>
      <c r="I94" s="27" t="s">
        <v>19</v>
      </c>
      <c r="J94" s="12">
        <f t="shared" si="4"/>
        <v>0</v>
      </c>
      <c r="K94" s="2"/>
      <c r="L94" s="2"/>
      <c r="M94" s="13"/>
    </row>
    <row r="95" spans="1:13" ht="15.75" x14ac:dyDescent="0.25">
      <c r="A95" s="91">
        <v>84</v>
      </c>
      <c r="B95" s="32"/>
      <c r="C95" s="26"/>
      <c r="D95" s="30"/>
      <c r="E95" s="33"/>
      <c r="F95" s="34"/>
      <c r="G95" s="25"/>
      <c r="H95" s="27" t="str">
        <f t="shared" si="5"/>
        <v>лист 0</v>
      </c>
      <c r="I95" s="27" t="s">
        <v>19</v>
      </c>
      <c r="J95" s="12">
        <f t="shared" si="4"/>
        <v>0</v>
      </c>
      <c r="K95" s="2"/>
      <c r="L95" s="2"/>
      <c r="M95" s="13"/>
    </row>
    <row r="96" spans="1:13" ht="15.75" x14ac:dyDescent="0.25">
      <c r="A96" s="91">
        <v>85</v>
      </c>
      <c r="B96" s="32"/>
      <c r="C96" s="26"/>
      <c r="D96" s="30"/>
      <c r="E96" s="33"/>
      <c r="F96" s="34"/>
      <c r="G96" s="25"/>
      <c r="H96" s="27" t="str">
        <f t="shared" si="5"/>
        <v>лист 0</v>
      </c>
      <c r="I96" s="27" t="s">
        <v>19</v>
      </c>
      <c r="J96" s="12">
        <f t="shared" si="4"/>
        <v>0</v>
      </c>
      <c r="K96" s="2"/>
      <c r="L96" s="2"/>
      <c r="M96" s="13"/>
    </row>
    <row r="97" spans="1:13" s="19" customFormat="1" ht="15.75" x14ac:dyDescent="0.25">
      <c r="A97" s="91">
        <v>86</v>
      </c>
      <c r="B97" s="32"/>
      <c r="C97" s="26"/>
      <c r="D97" s="30"/>
      <c r="E97" s="33"/>
      <c r="F97" s="34"/>
      <c r="G97" s="25"/>
      <c r="H97" s="27" t="str">
        <f t="shared" si="5"/>
        <v>лист 0</v>
      </c>
      <c r="I97" s="27" t="s">
        <v>19</v>
      </c>
      <c r="J97" s="12">
        <f t="shared" si="4"/>
        <v>0</v>
      </c>
      <c r="K97" s="2"/>
      <c r="L97" s="2"/>
      <c r="M97" s="92"/>
    </row>
    <row r="98" spans="1:13" s="19" customFormat="1" ht="15.75" x14ac:dyDescent="0.25">
      <c r="A98" s="91">
        <v>87</v>
      </c>
      <c r="B98" s="32"/>
      <c r="C98" s="26"/>
      <c r="D98" s="30"/>
      <c r="E98" s="33"/>
      <c r="F98" s="34"/>
      <c r="G98" s="25"/>
      <c r="H98" s="27" t="str">
        <f t="shared" si="5"/>
        <v>лист 0</v>
      </c>
      <c r="I98" s="27" t="s">
        <v>19</v>
      </c>
      <c r="J98" s="12">
        <f t="shared" si="4"/>
        <v>0</v>
      </c>
      <c r="K98" s="2"/>
      <c r="L98" s="2"/>
      <c r="M98" s="92"/>
    </row>
    <row r="99" spans="1:13" ht="15.75" x14ac:dyDescent="0.25">
      <c r="A99" s="91">
        <v>88</v>
      </c>
      <c r="B99" s="31"/>
      <c r="C99" s="26"/>
      <c r="D99" s="29"/>
      <c r="E99" s="36"/>
      <c r="F99" s="36"/>
      <c r="G99" s="25"/>
      <c r="H99" s="27" t="str">
        <f t="shared" si="5"/>
        <v>лист 0</v>
      </c>
      <c r="I99" s="27" t="s">
        <v>19</v>
      </c>
      <c r="J99" s="12">
        <f t="shared" si="4"/>
        <v>0</v>
      </c>
      <c r="K99" s="2"/>
      <c r="L99" s="2"/>
      <c r="M99" s="13"/>
    </row>
    <row r="100" spans="1:13" ht="15.75" x14ac:dyDescent="0.25">
      <c r="A100" s="91">
        <v>89</v>
      </c>
      <c r="B100" s="31"/>
      <c r="C100" s="28"/>
      <c r="D100" s="29"/>
      <c r="E100" s="36"/>
      <c r="F100" s="36"/>
      <c r="G100" s="25"/>
      <c r="H100" s="27" t="str">
        <f t="shared" si="5"/>
        <v>лист 0</v>
      </c>
      <c r="I100" s="27" t="s">
        <v>19</v>
      </c>
      <c r="J100" s="12">
        <f t="shared" si="4"/>
        <v>0</v>
      </c>
      <c r="K100" s="2"/>
      <c r="L100" s="2"/>
      <c r="M100" s="13"/>
    </row>
    <row r="101" spans="1:13" ht="15.75" x14ac:dyDescent="0.25">
      <c r="A101" s="91">
        <v>90</v>
      </c>
      <c r="B101" s="31"/>
      <c r="C101" s="28"/>
      <c r="D101" s="29"/>
      <c r="E101" s="36"/>
      <c r="F101" s="36"/>
      <c r="G101" s="25"/>
      <c r="H101" s="27" t="str">
        <f t="shared" si="5"/>
        <v>лист 0</v>
      </c>
      <c r="I101" s="27" t="s">
        <v>19</v>
      </c>
      <c r="J101" s="12">
        <f t="shared" si="4"/>
        <v>0</v>
      </c>
      <c r="K101" s="2"/>
      <c r="L101" s="2"/>
      <c r="M101" s="13"/>
    </row>
    <row r="102" spans="1:13" ht="15.75" x14ac:dyDescent="0.25">
      <c r="A102" s="91">
        <v>91</v>
      </c>
      <c r="B102" s="31"/>
      <c r="C102" s="28"/>
      <c r="D102" s="29"/>
      <c r="E102" s="36"/>
      <c r="F102" s="36"/>
      <c r="G102" s="25"/>
      <c r="H102" s="27" t="str">
        <f t="shared" si="5"/>
        <v>лист 0</v>
      </c>
      <c r="I102" s="27" t="s">
        <v>19</v>
      </c>
      <c r="J102" s="12">
        <f t="shared" si="4"/>
        <v>0</v>
      </c>
      <c r="L102" s="2"/>
      <c r="M102" s="4"/>
    </row>
    <row r="103" spans="1:13" ht="15.75" x14ac:dyDescent="0.25">
      <c r="A103" s="91">
        <v>92</v>
      </c>
      <c r="B103" s="31"/>
      <c r="C103" s="26"/>
      <c r="D103" s="29"/>
      <c r="E103" s="36"/>
      <c r="F103" s="36"/>
      <c r="G103" s="25"/>
      <c r="H103" s="27" t="str">
        <f t="shared" si="5"/>
        <v>лист 0</v>
      </c>
      <c r="I103" s="27" t="s">
        <v>19</v>
      </c>
      <c r="J103" s="12">
        <f t="shared" si="4"/>
        <v>0</v>
      </c>
      <c r="K103" s="37"/>
      <c r="L103" s="37"/>
      <c r="M103" s="38"/>
    </row>
    <row r="104" spans="1:13" ht="18.75" x14ac:dyDescent="0.3">
      <c r="A104" s="91">
        <v>93</v>
      </c>
      <c r="B104" s="31"/>
      <c r="C104" s="28"/>
      <c r="D104" s="29"/>
      <c r="E104" s="36"/>
      <c r="F104" s="36"/>
      <c r="G104" s="25"/>
      <c r="H104" s="27" t="str">
        <f t="shared" si="5"/>
        <v>лист 0</v>
      </c>
      <c r="I104" s="27" t="s">
        <v>19</v>
      </c>
      <c r="J104" s="12">
        <f t="shared" si="4"/>
        <v>0</v>
      </c>
      <c r="K104" s="39"/>
      <c r="L104" s="39"/>
      <c r="M104" s="40"/>
    </row>
    <row r="105" spans="1:13" s="19" customFormat="1" ht="15.75" x14ac:dyDescent="0.25">
      <c r="A105" s="91">
        <v>94</v>
      </c>
      <c r="B105" s="31"/>
      <c r="C105" s="28"/>
      <c r="D105" s="29"/>
      <c r="E105" s="36"/>
      <c r="F105" s="36"/>
      <c r="G105" s="25"/>
      <c r="H105" s="27" t="str">
        <f t="shared" si="5"/>
        <v>лист 0</v>
      </c>
      <c r="I105" s="27" t="s">
        <v>19</v>
      </c>
      <c r="J105" s="12">
        <f t="shared" si="4"/>
        <v>0</v>
      </c>
      <c r="K105" s="2"/>
      <c r="L105" s="2"/>
      <c r="M105" s="13"/>
    </row>
    <row r="106" spans="1:13" s="19" customFormat="1" ht="15.75" x14ac:dyDescent="0.25">
      <c r="A106" s="91">
        <v>95</v>
      </c>
      <c r="B106" s="31"/>
      <c r="C106" s="28"/>
      <c r="D106" s="29"/>
      <c r="E106" s="36"/>
      <c r="F106" s="36"/>
      <c r="G106" s="25"/>
      <c r="H106" s="27" t="str">
        <f t="shared" si="5"/>
        <v>лист 0</v>
      </c>
      <c r="I106" s="27" t="s">
        <v>19</v>
      </c>
      <c r="J106" s="12">
        <f t="shared" si="4"/>
        <v>0</v>
      </c>
      <c r="K106" s="2"/>
      <c r="L106" s="2"/>
      <c r="M106" s="13"/>
    </row>
    <row r="107" spans="1:13" s="19" customFormat="1" ht="15.75" x14ac:dyDescent="0.25">
      <c r="A107" s="91">
        <v>96</v>
      </c>
      <c r="B107" s="31"/>
      <c r="C107" s="26"/>
      <c r="D107" s="29"/>
      <c r="E107" s="36"/>
      <c r="F107" s="36"/>
      <c r="G107" s="25"/>
      <c r="H107" s="27" t="str">
        <f t="shared" si="5"/>
        <v>лист 0</v>
      </c>
      <c r="I107" s="27" t="s">
        <v>19</v>
      </c>
      <c r="J107" s="12">
        <f t="shared" si="4"/>
        <v>0</v>
      </c>
      <c r="K107" s="2"/>
      <c r="L107" s="2"/>
      <c r="M107" s="13"/>
    </row>
    <row r="108" spans="1:13" ht="18.75" x14ac:dyDescent="0.3">
      <c r="A108" s="91">
        <v>97</v>
      </c>
      <c r="B108" s="31"/>
      <c r="C108" s="26"/>
      <c r="D108" s="30"/>
      <c r="E108" s="33"/>
      <c r="F108" s="34"/>
      <c r="G108" s="25"/>
      <c r="H108" s="27" t="str">
        <f t="shared" si="5"/>
        <v>лист 0</v>
      </c>
      <c r="I108" s="27" t="s">
        <v>19</v>
      </c>
      <c r="J108" s="12">
        <f t="shared" si="4"/>
        <v>0</v>
      </c>
      <c r="K108" s="39"/>
      <c r="L108" s="39"/>
      <c r="M108" s="40"/>
    </row>
    <row r="109" spans="1:13" ht="18.75" x14ac:dyDescent="0.3">
      <c r="A109" s="91">
        <v>98</v>
      </c>
      <c r="B109" s="32"/>
      <c r="C109" s="26"/>
      <c r="D109" s="35"/>
      <c r="E109" s="32"/>
      <c r="F109" s="34"/>
      <c r="G109" s="25"/>
      <c r="H109" s="27" t="str">
        <f t="shared" si="5"/>
        <v>лист 0</v>
      </c>
      <c r="I109" s="27" t="s">
        <v>19</v>
      </c>
      <c r="J109" s="12">
        <f t="shared" si="4"/>
        <v>0</v>
      </c>
      <c r="K109" s="39"/>
      <c r="L109" s="39"/>
      <c r="M109" s="40"/>
    </row>
    <row r="110" spans="1:13" ht="18.75" x14ac:dyDescent="0.3">
      <c r="A110" s="91">
        <v>99</v>
      </c>
      <c r="B110" s="32"/>
      <c r="C110" s="26"/>
      <c r="D110" s="35"/>
      <c r="E110" s="32"/>
      <c r="F110" s="34"/>
      <c r="G110" s="25"/>
      <c r="H110" s="27" t="str">
        <f t="shared" si="5"/>
        <v>лист 0</v>
      </c>
      <c r="I110" s="27" t="s">
        <v>19</v>
      </c>
      <c r="J110" s="12">
        <f t="shared" si="4"/>
        <v>0</v>
      </c>
      <c r="K110" s="39"/>
      <c r="L110" s="39"/>
      <c r="M110" s="40"/>
    </row>
    <row r="111" spans="1:13" ht="18.75" x14ac:dyDescent="0.3">
      <c r="A111" s="91">
        <v>100</v>
      </c>
      <c r="B111" s="31"/>
      <c r="C111" s="26"/>
      <c r="D111" s="29"/>
      <c r="E111" s="36"/>
      <c r="F111" s="36"/>
      <c r="G111" s="25"/>
      <c r="H111" s="27" t="str">
        <f t="shared" si="5"/>
        <v>лист 0</v>
      </c>
      <c r="I111" s="27" t="s">
        <v>19</v>
      </c>
      <c r="J111" s="12">
        <f t="shared" si="4"/>
        <v>0</v>
      </c>
      <c r="K111" s="39"/>
      <c r="L111" s="39"/>
      <c r="M111" s="40"/>
    </row>
    <row r="112" spans="1:13" ht="18.75" x14ac:dyDescent="0.3">
      <c r="A112" s="91">
        <v>101</v>
      </c>
      <c r="B112" s="31"/>
      <c r="C112" s="28"/>
      <c r="D112" s="41"/>
      <c r="E112" s="36"/>
      <c r="F112" s="36"/>
      <c r="G112" s="25"/>
      <c r="H112" s="27" t="str">
        <f t="shared" si="5"/>
        <v>лист 0</v>
      </c>
      <c r="I112" s="27" t="s">
        <v>19</v>
      </c>
      <c r="J112" s="12">
        <f t="shared" si="4"/>
        <v>0</v>
      </c>
      <c r="K112" s="39"/>
      <c r="L112" s="39"/>
      <c r="M112" s="40"/>
    </row>
    <row r="113" spans="1:13" ht="18.75" x14ac:dyDescent="0.3">
      <c r="A113" s="91">
        <v>102</v>
      </c>
      <c r="B113" s="31"/>
      <c r="C113" s="28"/>
      <c r="D113" s="41"/>
      <c r="E113" s="36"/>
      <c r="F113" s="36"/>
      <c r="G113" s="25"/>
      <c r="H113" s="27" t="str">
        <f t="shared" si="5"/>
        <v>лист 0</v>
      </c>
      <c r="I113" s="27" t="s">
        <v>19</v>
      </c>
      <c r="J113" s="12">
        <f t="shared" si="4"/>
        <v>0</v>
      </c>
      <c r="K113" s="39"/>
      <c r="L113" s="39"/>
      <c r="M113" s="40"/>
    </row>
    <row r="114" spans="1:13" ht="18.75" x14ac:dyDescent="0.3">
      <c r="A114" s="91">
        <v>103</v>
      </c>
      <c r="B114" s="31"/>
      <c r="C114" s="28"/>
      <c r="D114" s="41"/>
      <c r="E114" s="36"/>
      <c r="F114" s="36"/>
      <c r="G114" s="25"/>
      <c r="H114" s="27" t="str">
        <f t="shared" si="5"/>
        <v>лист 0</v>
      </c>
      <c r="I114" s="27" t="s">
        <v>19</v>
      </c>
      <c r="J114" s="12">
        <f t="shared" si="4"/>
        <v>0</v>
      </c>
      <c r="K114" s="39"/>
      <c r="L114" s="39"/>
      <c r="M114" s="40"/>
    </row>
    <row r="115" spans="1:13" ht="18.75" x14ac:dyDescent="0.3">
      <c r="A115" s="91">
        <v>104</v>
      </c>
      <c r="B115" s="31"/>
      <c r="C115" s="28"/>
      <c r="D115" s="41"/>
      <c r="E115" s="36"/>
      <c r="F115" s="36"/>
      <c r="G115" s="25"/>
      <c r="H115" s="27" t="str">
        <f t="shared" si="5"/>
        <v>лист 0</v>
      </c>
      <c r="I115" s="27" t="s">
        <v>19</v>
      </c>
      <c r="J115" s="12">
        <f t="shared" si="4"/>
        <v>0</v>
      </c>
      <c r="K115" s="39"/>
      <c r="L115" s="39"/>
      <c r="M115" s="40"/>
    </row>
    <row r="116" spans="1:13" ht="18.75" x14ac:dyDescent="0.3">
      <c r="A116" s="91">
        <v>105</v>
      </c>
      <c r="B116" s="31"/>
      <c r="C116" s="28"/>
      <c r="D116" s="41"/>
      <c r="E116" s="36"/>
      <c r="F116" s="36"/>
      <c r="G116" s="25"/>
      <c r="H116" s="27" t="str">
        <f t="shared" si="5"/>
        <v>лист 0</v>
      </c>
      <c r="I116" s="27" t="s">
        <v>19</v>
      </c>
      <c r="J116" s="12">
        <f t="shared" si="4"/>
        <v>0</v>
      </c>
      <c r="K116" s="39"/>
      <c r="L116" s="39"/>
      <c r="M116" s="40"/>
    </row>
    <row r="117" spans="1:13" ht="18.75" x14ac:dyDescent="0.3">
      <c r="A117" s="91">
        <v>106</v>
      </c>
      <c r="B117" s="31"/>
      <c r="C117" s="26"/>
      <c r="D117" s="41"/>
      <c r="E117" s="36"/>
      <c r="F117" s="36"/>
      <c r="G117" s="25"/>
      <c r="H117" s="27" t="str">
        <f t="shared" si="5"/>
        <v>лист 0</v>
      </c>
      <c r="I117" s="27" t="s">
        <v>19</v>
      </c>
      <c r="J117" s="12">
        <f t="shared" si="4"/>
        <v>0</v>
      </c>
      <c r="K117" s="39"/>
      <c r="L117" s="39"/>
      <c r="M117" s="40"/>
    </row>
    <row r="118" spans="1:13" ht="18.75" x14ac:dyDescent="0.3">
      <c r="A118" s="91">
        <v>107</v>
      </c>
      <c r="B118" s="31"/>
      <c r="C118" s="28"/>
      <c r="D118" s="41"/>
      <c r="E118" s="36"/>
      <c r="F118" s="36"/>
      <c r="G118" s="25"/>
      <c r="H118" s="27" t="str">
        <f t="shared" si="5"/>
        <v>лист 0</v>
      </c>
      <c r="I118" s="27" t="s">
        <v>19</v>
      </c>
      <c r="J118" s="12">
        <f t="shared" si="4"/>
        <v>0</v>
      </c>
      <c r="K118" s="39"/>
      <c r="L118" s="39"/>
      <c r="M118" s="40"/>
    </row>
    <row r="119" spans="1:13" s="19" customFormat="1" ht="18.75" x14ac:dyDescent="0.3">
      <c r="A119" s="91">
        <v>108</v>
      </c>
      <c r="B119" s="31"/>
      <c r="C119" s="28"/>
      <c r="D119" s="41"/>
      <c r="E119" s="36"/>
      <c r="F119" s="36"/>
      <c r="G119" s="25"/>
      <c r="H119" s="27" t="str">
        <f t="shared" si="5"/>
        <v>лист 0</v>
      </c>
      <c r="I119" s="27" t="s">
        <v>19</v>
      </c>
      <c r="J119" s="12">
        <f t="shared" si="4"/>
        <v>0</v>
      </c>
      <c r="K119" s="39"/>
      <c r="L119" s="39"/>
      <c r="M119" s="93"/>
    </row>
    <row r="120" spans="1:13" s="19" customFormat="1" ht="18.75" x14ac:dyDescent="0.3">
      <c r="A120" s="91">
        <v>109</v>
      </c>
      <c r="B120" s="31"/>
      <c r="C120" s="28"/>
      <c r="D120" s="41"/>
      <c r="E120" s="36"/>
      <c r="F120" s="36"/>
      <c r="G120" s="25"/>
      <c r="H120" s="27" t="str">
        <f t="shared" si="5"/>
        <v>лист 0</v>
      </c>
      <c r="I120" s="27" t="s">
        <v>19</v>
      </c>
      <c r="J120" s="12">
        <f t="shared" si="4"/>
        <v>0</v>
      </c>
      <c r="K120" s="39"/>
      <c r="L120" s="39"/>
      <c r="M120" s="93"/>
    </row>
    <row r="121" spans="1:13" s="19" customFormat="1" ht="18.75" x14ac:dyDescent="0.3">
      <c r="A121" s="91">
        <v>110</v>
      </c>
      <c r="B121" s="31"/>
      <c r="C121" s="28"/>
      <c r="D121" s="41"/>
      <c r="E121" s="36"/>
      <c r="F121" s="36"/>
      <c r="G121" s="25"/>
      <c r="H121" s="27" t="str">
        <f t="shared" si="5"/>
        <v>лист 0</v>
      </c>
      <c r="I121" s="27" t="s">
        <v>19</v>
      </c>
      <c r="J121" s="12">
        <f t="shared" si="4"/>
        <v>0</v>
      </c>
      <c r="K121" s="39"/>
      <c r="L121" s="39"/>
      <c r="M121" s="93"/>
    </row>
    <row r="122" spans="1:13" ht="18.75" x14ac:dyDescent="0.3">
      <c r="A122" s="91">
        <v>111</v>
      </c>
      <c r="B122" s="31"/>
      <c r="C122" s="28"/>
      <c r="D122" s="41"/>
      <c r="E122" s="36"/>
      <c r="F122" s="36"/>
      <c r="G122" s="25"/>
      <c r="H122" s="27" t="str">
        <f t="shared" si="5"/>
        <v>лист 0</v>
      </c>
      <c r="I122" s="27" t="s">
        <v>19</v>
      </c>
      <c r="J122" s="12">
        <f t="shared" si="4"/>
        <v>0</v>
      </c>
      <c r="K122" s="39"/>
      <c r="L122" s="39"/>
      <c r="M122" s="40"/>
    </row>
    <row r="123" spans="1:13" ht="18.75" x14ac:dyDescent="0.3">
      <c r="A123" s="91">
        <v>112</v>
      </c>
      <c r="B123" s="32"/>
      <c r="C123" s="28"/>
      <c r="D123" s="30"/>
      <c r="E123" s="25"/>
      <c r="F123" s="25"/>
      <c r="G123" s="25"/>
      <c r="H123" s="27" t="str">
        <f t="shared" si="5"/>
        <v>лист 0</v>
      </c>
      <c r="I123" s="27" t="s">
        <v>19</v>
      </c>
      <c r="J123" s="12">
        <f t="shared" si="4"/>
        <v>0</v>
      </c>
      <c r="K123" s="39"/>
      <c r="L123" s="39"/>
      <c r="M123" s="40"/>
    </row>
    <row r="124" spans="1:13" ht="18.75" x14ac:dyDescent="0.3">
      <c r="A124" s="91">
        <v>113</v>
      </c>
      <c r="B124" s="32"/>
      <c r="C124" s="28"/>
      <c r="D124" s="30"/>
      <c r="E124" s="25"/>
      <c r="F124" s="25"/>
      <c r="G124" s="25"/>
      <c r="H124" s="27" t="str">
        <f t="shared" si="5"/>
        <v>лист 0</v>
      </c>
      <c r="I124" s="27" t="s">
        <v>19</v>
      </c>
      <c r="J124" s="12">
        <f t="shared" si="4"/>
        <v>0</v>
      </c>
      <c r="K124" s="39"/>
      <c r="L124" s="39"/>
      <c r="M124" s="40"/>
    </row>
    <row r="125" spans="1:13" ht="18.75" x14ac:dyDescent="0.3">
      <c r="A125" s="91">
        <v>114</v>
      </c>
      <c r="B125" s="32"/>
      <c r="C125" s="28"/>
      <c r="D125" s="30"/>
      <c r="E125" s="25"/>
      <c r="F125" s="25"/>
      <c r="G125" s="25"/>
      <c r="H125" s="27" t="str">
        <f t="shared" si="5"/>
        <v>лист 0</v>
      </c>
      <c r="I125" s="27" t="s">
        <v>19</v>
      </c>
      <c r="J125" s="12">
        <f t="shared" si="4"/>
        <v>0</v>
      </c>
      <c r="K125" s="39"/>
      <c r="L125" s="39"/>
      <c r="M125" s="40"/>
    </row>
    <row r="126" spans="1:13" ht="18.75" x14ac:dyDescent="0.3">
      <c r="A126" s="91">
        <v>115</v>
      </c>
      <c r="B126" s="32"/>
      <c r="C126" s="28"/>
      <c r="D126" s="30"/>
      <c r="E126" s="25"/>
      <c r="F126" s="25"/>
      <c r="G126" s="25"/>
      <c r="H126" s="27" t="str">
        <f t="shared" si="5"/>
        <v>лист 0</v>
      </c>
      <c r="I126" s="27" t="s">
        <v>19</v>
      </c>
      <c r="J126" s="12">
        <f t="shared" si="4"/>
        <v>0</v>
      </c>
      <c r="K126" s="39"/>
      <c r="L126" s="39"/>
      <c r="M126" s="40"/>
    </row>
    <row r="127" spans="1:13" ht="18.75" x14ac:dyDescent="0.3">
      <c r="A127" s="91">
        <v>116</v>
      </c>
      <c r="B127" s="32"/>
      <c r="C127" s="28"/>
      <c r="D127" s="30"/>
      <c r="E127" s="25"/>
      <c r="F127" s="25"/>
      <c r="G127" s="25"/>
      <c r="H127" s="27" t="str">
        <f t="shared" si="5"/>
        <v>лист 0</v>
      </c>
      <c r="I127" s="27" t="s">
        <v>19</v>
      </c>
      <c r="J127" s="12">
        <f t="shared" si="4"/>
        <v>0</v>
      </c>
      <c r="K127" s="39"/>
      <c r="L127" s="39"/>
      <c r="M127" s="40"/>
    </row>
    <row r="128" spans="1:13" ht="18.75" x14ac:dyDescent="0.3">
      <c r="A128" s="91">
        <v>117</v>
      </c>
      <c r="B128" s="32"/>
      <c r="C128" s="28"/>
      <c r="D128" s="30"/>
      <c r="E128" s="25"/>
      <c r="F128" s="25"/>
      <c r="G128" s="25"/>
      <c r="H128" s="27" t="str">
        <f t="shared" si="5"/>
        <v>лист 0</v>
      </c>
      <c r="I128" s="27" t="s">
        <v>19</v>
      </c>
      <c r="J128" s="12">
        <f t="shared" si="4"/>
        <v>0</v>
      </c>
      <c r="K128" s="39"/>
      <c r="L128" s="39"/>
      <c r="M128" s="40"/>
    </row>
    <row r="129" spans="1:13" ht="18.75" x14ac:dyDescent="0.3">
      <c r="A129" s="91">
        <v>118</v>
      </c>
      <c r="B129" s="32"/>
      <c r="C129" s="26"/>
      <c r="D129" s="30"/>
      <c r="E129" s="33"/>
      <c r="F129" s="34"/>
      <c r="G129" s="25"/>
      <c r="H129" s="27" t="str">
        <f t="shared" si="5"/>
        <v>лист 0</v>
      </c>
      <c r="I129" s="27" t="s">
        <v>19</v>
      </c>
      <c r="J129" s="12">
        <f t="shared" si="4"/>
        <v>0</v>
      </c>
      <c r="K129" s="39"/>
      <c r="L129" s="39"/>
      <c r="M129" s="40"/>
    </row>
    <row r="130" spans="1:13" ht="18.75" x14ac:dyDescent="0.3">
      <c r="A130" s="91">
        <v>119</v>
      </c>
      <c r="B130" s="32"/>
      <c r="C130" s="26"/>
      <c r="D130" s="30"/>
      <c r="E130" s="33"/>
      <c r="F130" s="34"/>
      <c r="G130" s="25"/>
      <c r="H130" s="27" t="str">
        <f t="shared" si="5"/>
        <v>лист 0</v>
      </c>
      <c r="I130" s="27" t="s">
        <v>19</v>
      </c>
      <c r="J130" s="12">
        <f t="shared" si="4"/>
        <v>0</v>
      </c>
      <c r="K130" s="39"/>
      <c r="L130" s="39"/>
      <c r="M130" s="40"/>
    </row>
    <row r="131" spans="1:13" ht="18.75" x14ac:dyDescent="0.3">
      <c r="A131" s="91">
        <v>120</v>
      </c>
      <c r="B131" s="32"/>
      <c r="C131" s="26"/>
      <c r="D131" s="30"/>
      <c r="E131" s="33"/>
      <c r="F131" s="34"/>
      <c r="G131" s="25"/>
      <c r="H131" s="27" t="str">
        <f t="shared" si="5"/>
        <v>лист 0</v>
      </c>
      <c r="I131" s="27" t="s">
        <v>19</v>
      </c>
      <c r="J131" s="12">
        <f t="shared" si="4"/>
        <v>0</v>
      </c>
      <c r="K131" s="39"/>
      <c r="L131" s="39"/>
      <c r="M131" s="40"/>
    </row>
    <row r="132" spans="1:13" ht="18.75" x14ac:dyDescent="0.3">
      <c r="A132" s="91">
        <v>121</v>
      </c>
      <c r="B132" s="31"/>
      <c r="C132" s="28"/>
      <c r="D132" s="31"/>
      <c r="E132" s="42"/>
      <c r="F132" s="43"/>
      <c r="G132" s="25"/>
      <c r="H132" s="27" t="str">
        <f t="shared" si="5"/>
        <v>лист 0</v>
      </c>
      <c r="I132" s="27" t="s">
        <v>19</v>
      </c>
      <c r="J132" s="12">
        <f t="shared" si="4"/>
        <v>0</v>
      </c>
      <c r="K132" s="39"/>
      <c r="L132" s="39"/>
      <c r="M132" s="40"/>
    </row>
    <row r="133" spans="1:13" ht="18.75" x14ac:dyDescent="0.3">
      <c r="A133" s="91">
        <v>122</v>
      </c>
      <c r="B133" s="31"/>
      <c r="C133" s="28"/>
      <c r="D133" s="31"/>
      <c r="E133" s="42"/>
      <c r="F133" s="43"/>
      <c r="G133" s="25"/>
      <c r="H133" s="27" t="str">
        <f t="shared" si="5"/>
        <v>лист 0</v>
      </c>
      <c r="I133" s="27" t="s">
        <v>19</v>
      </c>
      <c r="J133" s="12">
        <f t="shared" si="4"/>
        <v>0</v>
      </c>
      <c r="K133" s="39"/>
      <c r="L133" s="39"/>
      <c r="M133" s="40"/>
    </row>
    <row r="134" spans="1:13" ht="18.75" x14ac:dyDescent="0.3">
      <c r="A134" s="91">
        <v>123</v>
      </c>
      <c r="B134" s="31"/>
      <c r="C134" s="28"/>
      <c r="D134" s="31"/>
      <c r="E134" s="42"/>
      <c r="F134" s="43"/>
      <c r="G134" s="25"/>
      <c r="H134" s="27" t="str">
        <f t="shared" si="5"/>
        <v>лист 0</v>
      </c>
      <c r="I134" s="27" t="s">
        <v>19</v>
      </c>
      <c r="J134" s="12">
        <f t="shared" si="4"/>
        <v>0</v>
      </c>
      <c r="K134" s="39"/>
      <c r="L134" s="39"/>
      <c r="M134" s="40"/>
    </row>
    <row r="135" spans="1:13" ht="18.75" x14ac:dyDescent="0.3">
      <c r="A135" s="91">
        <v>124</v>
      </c>
      <c r="B135" s="31"/>
      <c r="C135" s="28"/>
      <c r="D135" s="31"/>
      <c r="E135" s="42"/>
      <c r="F135" s="43"/>
      <c r="G135" s="25"/>
      <c r="H135" s="27" t="str">
        <f t="shared" si="5"/>
        <v>лист 0</v>
      </c>
      <c r="I135" s="27" t="s">
        <v>19</v>
      </c>
      <c r="J135" s="12">
        <f t="shared" si="4"/>
        <v>0</v>
      </c>
      <c r="K135" s="39"/>
      <c r="L135" s="39"/>
      <c r="M135" s="40"/>
    </row>
    <row r="136" spans="1:13" ht="18.75" x14ac:dyDescent="0.3">
      <c r="A136" s="91">
        <v>125</v>
      </c>
      <c r="B136" s="31"/>
      <c r="C136" s="28"/>
      <c r="D136" s="31"/>
      <c r="E136" s="42"/>
      <c r="F136" s="43"/>
      <c r="G136" s="25"/>
      <c r="H136" s="27" t="str">
        <f t="shared" si="5"/>
        <v>лист 0</v>
      </c>
      <c r="I136" s="27" t="s">
        <v>19</v>
      </c>
      <c r="J136" s="12">
        <f t="shared" si="4"/>
        <v>0</v>
      </c>
      <c r="K136" s="39"/>
      <c r="L136" s="39"/>
      <c r="M136" s="40"/>
    </row>
    <row r="137" spans="1:13" ht="18.75" x14ac:dyDescent="0.3">
      <c r="A137" s="91">
        <v>126</v>
      </c>
      <c r="B137" s="31"/>
      <c r="C137" s="28"/>
      <c r="D137" s="31"/>
      <c r="E137" s="42"/>
      <c r="F137" s="43"/>
      <c r="G137" s="25"/>
      <c r="H137" s="27" t="str">
        <f t="shared" si="5"/>
        <v>лист 0</v>
      </c>
      <c r="I137" s="27" t="s">
        <v>19</v>
      </c>
      <c r="J137" s="12">
        <f t="shared" si="4"/>
        <v>0</v>
      </c>
      <c r="K137" s="39"/>
      <c r="L137" s="39"/>
      <c r="M137" s="40"/>
    </row>
    <row r="138" spans="1:13" ht="18.75" x14ac:dyDescent="0.3">
      <c r="A138" s="91">
        <v>127</v>
      </c>
      <c r="B138" s="31"/>
      <c r="C138" s="28"/>
      <c r="D138" s="31"/>
      <c r="E138" s="42"/>
      <c r="F138" s="43"/>
      <c r="G138" s="25"/>
      <c r="H138" s="27" t="str">
        <f t="shared" si="5"/>
        <v>лист 0</v>
      </c>
      <c r="I138" s="27" t="s">
        <v>19</v>
      </c>
      <c r="J138" s="12">
        <f t="shared" ref="J138:J159" si="6">J137+E137+K138</f>
        <v>0</v>
      </c>
      <c r="K138" s="39"/>
      <c r="L138" s="39"/>
      <c r="M138" s="40"/>
    </row>
    <row r="139" spans="1:13" ht="18.75" x14ac:dyDescent="0.3">
      <c r="A139" s="91">
        <v>128</v>
      </c>
      <c r="B139" s="31"/>
      <c r="C139" s="28"/>
      <c r="D139" s="31"/>
      <c r="E139" s="42"/>
      <c r="F139" s="43"/>
      <c r="G139" s="25"/>
      <c r="H139" s="27" t="str">
        <f t="shared" ref="H139:H159" si="7">I139&amp;J139</f>
        <v>лист 0</v>
      </c>
      <c r="I139" s="27" t="s">
        <v>19</v>
      </c>
      <c r="J139" s="12">
        <f t="shared" si="6"/>
        <v>0</v>
      </c>
      <c r="K139" s="39"/>
      <c r="L139" s="39"/>
      <c r="M139" s="40"/>
    </row>
    <row r="140" spans="1:13" ht="18.75" x14ac:dyDescent="0.3">
      <c r="A140" s="91">
        <v>129</v>
      </c>
      <c r="B140" s="31"/>
      <c r="C140" s="28"/>
      <c r="D140" s="31"/>
      <c r="E140" s="42"/>
      <c r="F140" s="43"/>
      <c r="G140" s="25"/>
      <c r="H140" s="27" t="str">
        <f t="shared" si="7"/>
        <v>лист 0</v>
      </c>
      <c r="I140" s="27" t="s">
        <v>19</v>
      </c>
      <c r="J140" s="12">
        <f t="shared" si="6"/>
        <v>0</v>
      </c>
      <c r="K140" s="39"/>
      <c r="L140" s="39"/>
      <c r="M140" s="40"/>
    </row>
    <row r="141" spans="1:13" s="19" customFormat="1" ht="18.75" x14ac:dyDescent="0.3">
      <c r="A141" s="91">
        <v>130</v>
      </c>
      <c r="B141" s="25"/>
      <c r="C141" s="44"/>
      <c r="D141" s="29"/>
      <c r="E141" s="25"/>
      <c r="F141" s="45"/>
      <c r="G141" s="25"/>
      <c r="H141" s="27" t="str">
        <f t="shared" si="7"/>
        <v>лист 0</v>
      </c>
      <c r="I141" s="27" t="s">
        <v>19</v>
      </c>
      <c r="J141" s="12">
        <f t="shared" si="6"/>
        <v>0</v>
      </c>
      <c r="K141" s="39"/>
      <c r="L141" s="39"/>
      <c r="M141" s="40"/>
    </row>
    <row r="142" spans="1:13" s="19" customFormat="1" ht="18.75" x14ac:dyDescent="0.3">
      <c r="A142" s="91">
        <v>131</v>
      </c>
      <c r="B142" s="25"/>
      <c r="C142" s="44"/>
      <c r="D142" s="25"/>
      <c r="E142" s="25"/>
      <c r="F142" s="45"/>
      <c r="G142" s="25"/>
      <c r="H142" s="27" t="str">
        <f t="shared" si="7"/>
        <v>лист 0</v>
      </c>
      <c r="I142" s="27" t="s">
        <v>19</v>
      </c>
      <c r="J142" s="12">
        <f t="shared" si="6"/>
        <v>0</v>
      </c>
      <c r="K142" s="39"/>
      <c r="L142" s="39"/>
      <c r="M142" s="40"/>
    </row>
    <row r="143" spans="1:13" ht="18.75" x14ac:dyDescent="0.3">
      <c r="A143" s="91">
        <v>132</v>
      </c>
      <c r="B143" s="31"/>
      <c r="C143" s="28"/>
      <c r="D143" s="31"/>
      <c r="E143" s="42"/>
      <c r="F143" s="43"/>
      <c r="G143" s="25"/>
      <c r="H143" s="27" t="str">
        <f t="shared" si="7"/>
        <v>лист 0</v>
      </c>
      <c r="I143" s="27" t="s">
        <v>19</v>
      </c>
      <c r="J143" s="12">
        <f t="shared" si="6"/>
        <v>0</v>
      </c>
      <c r="K143" s="39"/>
      <c r="L143" s="39"/>
      <c r="M143" s="40"/>
    </row>
    <row r="144" spans="1:13" ht="18.75" x14ac:dyDescent="0.3">
      <c r="A144" s="91">
        <v>133</v>
      </c>
      <c r="B144" s="31"/>
      <c r="C144" s="28"/>
      <c r="D144" s="31"/>
      <c r="E144" s="42"/>
      <c r="F144" s="43"/>
      <c r="G144" s="25"/>
      <c r="H144" s="27" t="str">
        <f t="shared" si="7"/>
        <v>лист 0</v>
      </c>
      <c r="I144" s="27" t="s">
        <v>19</v>
      </c>
      <c r="J144" s="12">
        <f t="shared" si="6"/>
        <v>0</v>
      </c>
      <c r="K144" s="39"/>
      <c r="L144" s="39"/>
      <c r="M144" s="40"/>
    </row>
    <row r="145" spans="1:13" ht="18.75" x14ac:dyDescent="0.3">
      <c r="A145" s="91">
        <v>134</v>
      </c>
      <c r="B145" s="31"/>
      <c r="C145" s="28"/>
      <c r="D145" s="31"/>
      <c r="E145" s="42"/>
      <c r="F145" s="43"/>
      <c r="G145" s="25"/>
      <c r="H145" s="27" t="str">
        <f t="shared" si="7"/>
        <v>лист 0</v>
      </c>
      <c r="I145" s="27" t="s">
        <v>19</v>
      </c>
      <c r="J145" s="12">
        <f t="shared" si="6"/>
        <v>0</v>
      </c>
      <c r="K145" s="39"/>
      <c r="L145" s="39"/>
      <c r="M145" s="40"/>
    </row>
    <row r="146" spans="1:13" ht="18.75" x14ac:dyDescent="0.3">
      <c r="A146" s="91">
        <v>135</v>
      </c>
      <c r="B146" s="31"/>
      <c r="C146" s="28"/>
      <c r="D146" s="31"/>
      <c r="E146" s="42"/>
      <c r="F146" s="43"/>
      <c r="G146" s="25"/>
      <c r="H146" s="27" t="str">
        <f t="shared" si="7"/>
        <v>лист 0</v>
      </c>
      <c r="I146" s="27" t="s">
        <v>19</v>
      </c>
      <c r="J146" s="12">
        <f t="shared" si="6"/>
        <v>0</v>
      </c>
      <c r="K146" s="39"/>
      <c r="L146" s="39"/>
      <c r="M146" s="40"/>
    </row>
    <row r="147" spans="1:13" ht="18.75" x14ac:dyDescent="0.3">
      <c r="A147" s="91">
        <v>136</v>
      </c>
      <c r="B147" s="31"/>
      <c r="C147" s="28"/>
      <c r="D147" s="31"/>
      <c r="E147" s="42"/>
      <c r="F147" s="43"/>
      <c r="G147" s="25"/>
      <c r="H147" s="27" t="str">
        <f t="shared" si="7"/>
        <v>лист 0</v>
      </c>
      <c r="I147" s="27" t="s">
        <v>19</v>
      </c>
      <c r="J147" s="12">
        <f t="shared" si="6"/>
        <v>0</v>
      </c>
      <c r="K147" s="39"/>
      <c r="L147" s="39"/>
      <c r="M147" s="40"/>
    </row>
    <row r="148" spans="1:13" ht="18.75" x14ac:dyDescent="0.3">
      <c r="A148" s="91">
        <v>137</v>
      </c>
      <c r="B148" s="31"/>
      <c r="C148" s="28"/>
      <c r="D148" s="31"/>
      <c r="E148" s="42"/>
      <c r="F148" s="43"/>
      <c r="G148" s="25"/>
      <c r="H148" s="27" t="str">
        <f t="shared" si="7"/>
        <v>лист 0</v>
      </c>
      <c r="I148" s="27" t="s">
        <v>19</v>
      </c>
      <c r="J148" s="12">
        <f t="shared" si="6"/>
        <v>0</v>
      </c>
      <c r="K148" s="39"/>
      <c r="L148" s="39"/>
      <c r="M148" s="40"/>
    </row>
    <row r="149" spans="1:13" ht="18.75" x14ac:dyDescent="0.3">
      <c r="A149" s="91">
        <v>138</v>
      </c>
      <c r="B149" s="31"/>
      <c r="C149" s="28"/>
      <c r="D149" s="31"/>
      <c r="E149" s="42"/>
      <c r="F149" s="43"/>
      <c r="G149" s="25"/>
      <c r="H149" s="27" t="str">
        <f t="shared" si="7"/>
        <v>лист 0</v>
      </c>
      <c r="I149" s="27" t="s">
        <v>19</v>
      </c>
      <c r="J149" s="12">
        <f t="shared" si="6"/>
        <v>0</v>
      </c>
      <c r="K149" s="39"/>
      <c r="L149" s="39"/>
      <c r="M149" s="40"/>
    </row>
    <row r="150" spans="1:13" ht="18.75" x14ac:dyDescent="0.3">
      <c r="A150" s="91">
        <v>139</v>
      </c>
      <c r="B150" s="31"/>
      <c r="C150" s="28"/>
      <c r="D150" s="31"/>
      <c r="E150" s="42"/>
      <c r="F150" s="43"/>
      <c r="G150" s="25"/>
      <c r="H150" s="27" t="str">
        <f t="shared" si="7"/>
        <v>лист 0</v>
      </c>
      <c r="I150" s="27" t="s">
        <v>19</v>
      </c>
      <c r="J150" s="12">
        <f t="shared" si="6"/>
        <v>0</v>
      </c>
      <c r="K150" s="39"/>
      <c r="L150" s="39"/>
      <c r="M150" s="40"/>
    </row>
    <row r="151" spans="1:13" ht="18.75" x14ac:dyDescent="0.3">
      <c r="A151" s="91">
        <v>140</v>
      </c>
      <c r="B151" s="31"/>
      <c r="C151" s="28"/>
      <c r="D151" s="31"/>
      <c r="E151" s="42"/>
      <c r="F151" s="43"/>
      <c r="G151" s="25"/>
      <c r="H151" s="27" t="str">
        <f t="shared" si="7"/>
        <v>лист 0</v>
      </c>
      <c r="I151" s="27" t="s">
        <v>19</v>
      </c>
      <c r="J151" s="12">
        <f t="shared" si="6"/>
        <v>0</v>
      </c>
      <c r="K151" s="39"/>
      <c r="L151" s="39"/>
      <c r="M151" s="40"/>
    </row>
    <row r="152" spans="1:13" ht="18.75" x14ac:dyDescent="0.3">
      <c r="A152" s="91">
        <v>141</v>
      </c>
      <c r="B152" s="31"/>
      <c r="C152" s="28"/>
      <c r="D152" s="31"/>
      <c r="E152" s="42"/>
      <c r="F152" s="43"/>
      <c r="G152" s="25"/>
      <c r="H152" s="27" t="str">
        <f t="shared" si="7"/>
        <v>лист 0</v>
      </c>
      <c r="I152" s="27" t="s">
        <v>19</v>
      </c>
      <c r="J152" s="12">
        <f t="shared" si="6"/>
        <v>0</v>
      </c>
      <c r="K152" s="39"/>
      <c r="L152" s="39"/>
      <c r="M152" s="40"/>
    </row>
    <row r="153" spans="1:13" ht="18.75" x14ac:dyDescent="0.3">
      <c r="A153" s="91">
        <v>142</v>
      </c>
      <c r="B153" s="31"/>
      <c r="C153" s="28"/>
      <c r="D153" s="31"/>
      <c r="E153" s="42"/>
      <c r="F153" s="43"/>
      <c r="G153" s="25"/>
      <c r="H153" s="27" t="str">
        <f t="shared" si="7"/>
        <v>лист 0</v>
      </c>
      <c r="I153" s="27" t="s">
        <v>19</v>
      </c>
      <c r="J153" s="12">
        <f t="shared" si="6"/>
        <v>0</v>
      </c>
      <c r="K153" s="39"/>
      <c r="L153" s="39"/>
      <c r="M153" s="40"/>
    </row>
    <row r="154" spans="1:13" ht="18.75" x14ac:dyDescent="0.3">
      <c r="A154" s="91">
        <v>143</v>
      </c>
      <c r="B154" s="31"/>
      <c r="C154" s="28"/>
      <c r="D154" s="31"/>
      <c r="E154" s="42"/>
      <c r="F154" s="43"/>
      <c r="G154" s="25"/>
      <c r="H154" s="27" t="str">
        <f t="shared" si="7"/>
        <v>лист 0</v>
      </c>
      <c r="I154" s="27" t="s">
        <v>19</v>
      </c>
      <c r="J154" s="12">
        <f t="shared" si="6"/>
        <v>0</v>
      </c>
      <c r="K154" s="39"/>
      <c r="L154" s="39"/>
      <c r="M154" s="40"/>
    </row>
    <row r="155" spans="1:13" ht="18.75" x14ac:dyDescent="0.3">
      <c r="A155" s="91">
        <v>144</v>
      </c>
      <c r="B155" s="25"/>
      <c r="C155" s="44"/>
      <c r="D155" s="25"/>
      <c r="E155" s="25"/>
      <c r="F155" s="45"/>
      <c r="G155" s="25"/>
      <c r="H155" s="27" t="str">
        <f t="shared" si="7"/>
        <v>лист 0</v>
      </c>
      <c r="I155" s="27" t="s">
        <v>19</v>
      </c>
      <c r="J155" s="12">
        <f t="shared" si="6"/>
        <v>0</v>
      </c>
      <c r="K155" s="39"/>
      <c r="L155" s="39"/>
      <c r="M155" s="40"/>
    </row>
    <row r="156" spans="1:13" ht="18.75" x14ac:dyDescent="0.3">
      <c r="A156" s="91">
        <v>145</v>
      </c>
      <c r="B156" s="25"/>
      <c r="C156" s="44"/>
      <c r="D156" s="25"/>
      <c r="E156" s="25"/>
      <c r="F156" s="45"/>
      <c r="G156" s="25"/>
      <c r="H156" s="27" t="str">
        <f t="shared" si="7"/>
        <v>лист 0</v>
      </c>
      <c r="I156" s="27" t="s">
        <v>19</v>
      </c>
      <c r="J156" s="12">
        <f t="shared" si="6"/>
        <v>0</v>
      </c>
      <c r="K156" s="39"/>
      <c r="L156" s="39"/>
      <c r="M156" s="40"/>
    </row>
    <row r="157" spans="1:13" ht="18.75" x14ac:dyDescent="0.3">
      <c r="A157" s="91">
        <v>146</v>
      </c>
      <c r="B157" s="25"/>
      <c r="C157" s="44"/>
      <c r="D157" s="29"/>
      <c r="E157" s="25"/>
      <c r="F157" s="45"/>
      <c r="G157" s="25"/>
      <c r="H157" s="27" t="str">
        <f t="shared" si="7"/>
        <v>лист 0</v>
      </c>
      <c r="I157" s="27" t="s">
        <v>19</v>
      </c>
      <c r="J157" s="12">
        <f t="shared" si="6"/>
        <v>0</v>
      </c>
      <c r="K157" s="39"/>
      <c r="L157" s="39"/>
      <c r="M157" s="40"/>
    </row>
    <row r="158" spans="1:13" ht="18.75" x14ac:dyDescent="0.3">
      <c r="A158" s="91">
        <v>147</v>
      </c>
      <c r="B158" s="25"/>
      <c r="C158" s="44"/>
      <c r="D158" s="29"/>
      <c r="E158" s="25"/>
      <c r="F158" s="45"/>
      <c r="G158" s="25"/>
      <c r="H158" s="27" t="str">
        <f t="shared" si="7"/>
        <v>лист 0</v>
      </c>
      <c r="I158" s="27" t="s">
        <v>19</v>
      </c>
      <c r="J158" s="12">
        <f t="shared" si="6"/>
        <v>0</v>
      </c>
      <c r="K158" s="39"/>
      <c r="L158" s="39"/>
      <c r="M158" s="40"/>
    </row>
    <row r="159" spans="1:13" ht="18.75" x14ac:dyDescent="0.3">
      <c r="A159" s="91">
        <v>148</v>
      </c>
      <c r="B159" s="25"/>
      <c r="C159" s="44"/>
      <c r="D159" s="29"/>
      <c r="E159" s="25"/>
      <c r="F159" s="45"/>
      <c r="G159" s="25"/>
      <c r="H159" s="27" t="str">
        <f t="shared" si="7"/>
        <v>лист 0</v>
      </c>
      <c r="I159" s="27" t="s">
        <v>19</v>
      </c>
      <c r="J159" s="12">
        <f t="shared" si="6"/>
        <v>0</v>
      </c>
      <c r="K159" s="39"/>
      <c r="L159" s="39"/>
      <c r="M159" s="40"/>
    </row>
    <row r="160" spans="1:13" ht="18.75" x14ac:dyDescent="0.3">
      <c r="A160" s="46"/>
      <c r="B160" s="47"/>
      <c r="C160" s="48" t="str">
        <f>I160&amp;I161&amp;I162&amp;I161&amp;K160</f>
        <v>Реестр состоит из 0 листов</v>
      </c>
      <c r="D160" s="47"/>
      <c r="E160" s="46"/>
      <c r="F160" s="46"/>
      <c r="G160" s="47"/>
      <c r="H160" s="46"/>
      <c r="I160" s="3" t="s">
        <v>26</v>
      </c>
      <c r="J160" s="2"/>
      <c r="K160" s="2" t="s">
        <v>27</v>
      </c>
      <c r="L160" s="39"/>
      <c r="M160" s="40"/>
    </row>
    <row r="161" spans="1:13" ht="18.75" x14ac:dyDescent="0.3">
      <c r="A161" s="49"/>
      <c r="B161" s="50"/>
      <c r="C161" s="51"/>
      <c r="D161" s="52"/>
      <c r="E161" s="52"/>
      <c r="F161" s="52"/>
      <c r="G161" s="53"/>
      <c r="H161" s="37"/>
      <c r="I161" s="37" t="s">
        <v>28</v>
      </c>
      <c r="J161" s="37"/>
      <c r="K161" s="39"/>
      <c r="L161" s="39"/>
      <c r="M161" s="40"/>
    </row>
    <row r="162" spans="1:13" ht="18.75" x14ac:dyDescent="0.3">
      <c r="A162" s="54"/>
      <c r="B162" s="103"/>
      <c r="C162" s="103"/>
      <c r="D162" s="103"/>
      <c r="E162" s="103"/>
      <c r="F162" s="103"/>
      <c r="G162" s="103"/>
      <c r="H162" s="103"/>
      <c r="I162" s="55">
        <f>J159</f>
        <v>0</v>
      </c>
      <c r="J162" s="39"/>
      <c r="K162" s="39"/>
      <c r="L162" s="39"/>
      <c r="M162" s="40"/>
    </row>
    <row r="163" spans="1:13" ht="18.75" x14ac:dyDescent="0.3">
      <c r="A163" s="54"/>
      <c r="B163" s="56"/>
      <c r="C163" s="104" t="s">
        <v>29</v>
      </c>
      <c r="D163" s="104"/>
      <c r="E163" s="104"/>
      <c r="F163" s="104"/>
      <c r="G163" s="104"/>
      <c r="H163" s="58"/>
      <c r="I163" s="39"/>
      <c r="J163" s="39"/>
      <c r="K163" s="39"/>
      <c r="L163" s="39"/>
      <c r="M163" s="40"/>
    </row>
    <row r="164" spans="1:13" ht="18.75" x14ac:dyDescent="0.3">
      <c r="A164" s="54"/>
      <c r="B164" s="56"/>
      <c r="C164" s="57"/>
      <c r="D164" s="57"/>
      <c r="E164" s="57"/>
      <c r="F164" s="57"/>
      <c r="G164" s="59"/>
      <c r="H164" s="58"/>
      <c r="I164" s="39"/>
      <c r="J164" s="39"/>
    </row>
    <row r="165" spans="1:13" ht="18.75" x14ac:dyDescent="0.3">
      <c r="A165" s="54"/>
      <c r="B165" s="103"/>
      <c r="C165" s="103"/>
      <c r="D165" s="103"/>
      <c r="E165" s="103"/>
      <c r="F165" s="103"/>
      <c r="G165" s="103"/>
      <c r="H165" s="103"/>
      <c r="I165" s="39"/>
      <c r="J165" s="39"/>
    </row>
    <row r="166" spans="1:13" ht="18.75" x14ac:dyDescent="0.3">
      <c r="A166" s="54"/>
      <c r="B166" s="56"/>
      <c r="C166" s="104" t="s">
        <v>29</v>
      </c>
      <c r="D166" s="104"/>
      <c r="E166" s="104"/>
      <c r="F166" s="104"/>
      <c r="G166" s="104"/>
      <c r="H166" s="58"/>
      <c r="I166" s="39"/>
      <c r="J166" s="39"/>
    </row>
  </sheetData>
  <autoFilter ref="A8:H8" xr:uid="{00000000-0009-0000-0000-000000000000}"/>
  <mergeCells count="17">
    <mergeCell ref="A72:H72"/>
    <mergeCell ref="B162:H162"/>
    <mergeCell ref="C163:G163"/>
    <mergeCell ref="B165:H165"/>
    <mergeCell ref="C166:G166"/>
    <mergeCell ref="A6:B6"/>
    <mergeCell ref="C6:H6"/>
    <mergeCell ref="A7:B7"/>
    <mergeCell ref="C7:H7"/>
    <mergeCell ref="A10:H10"/>
    <mergeCell ref="A5:B5"/>
    <mergeCell ref="C5:H5"/>
    <mergeCell ref="A1:H1"/>
    <mergeCell ref="A2:B3"/>
    <mergeCell ref="C2:H3"/>
    <mergeCell ref="A4:B4"/>
    <mergeCell ref="C4:H4"/>
  </mergeCells>
  <phoneticPr fontId="24" type="noConversion"/>
  <pageMargins left="0.7" right="0.7" top="0.75" bottom="0.75" header="0.3" footer="0.3"/>
  <pageSetup paperSize="9"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86"/>
  <sheetViews>
    <sheetView zoomScale="85" workbookViewId="0">
      <selection activeCell="H12" sqref="H12"/>
    </sheetView>
  </sheetViews>
  <sheetFormatPr defaultColWidth="9.140625" defaultRowHeight="15.75" x14ac:dyDescent="0.25"/>
  <cols>
    <col min="1" max="1" width="5.42578125" style="2" customWidth="1"/>
    <col min="2" max="2" width="32.85546875" style="2" customWidth="1"/>
    <col min="3" max="3" width="84.28515625" style="3" customWidth="1"/>
    <col min="4" max="4" width="19.28515625" style="2" customWidth="1"/>
    <col min="5" max="5" width="15.85546875" style="61" customWidth="1"/>
    <col min="6" max="6" width="15.140625" style="61" customWidth="1"/>
    <col min="7" max="7" width="20.7109375" style="53" customWidth="1"/>
    <col min="8" max="8" width="28.7109375" style="2" customWidth="1"/>
    <col min="9" max="9" width="9.140625" style="2"/>
    <col min="10" max="10" width="63.28515625" style="3" customWidth="1"/>
    <col min="11" max="11" width="9.140625" style="2"/>
    <col min="12" max="12" width="11.85546875" style="2" bestFit="1" customWidth="1"/>
    <col min="13" max="17" width="9.140625" style="2"/>
    <col min="18" max="16384" width="9.140625" style="60"/>
  </cols>
  <sheetData>
    <row r="1" spans="1:13" s="2" customFormat="1" x14ac:dyDescent="0.25">
      <c r="A1" s="95" t="s">
        <v>30</v>
      </c>
      <c r="B1" s="95"/>
      <c r="C1" s="95"/>
      <c r="D1" s="95"/>
      <c r="E1" s="95"/>
      <c r="F1" s="95"/>
      <c r="G1" s="95"/>
      <c r="H1" s="95"/>
      <c r="J1" s="3"/>
    </row>
    <row r="2" spans="1:13" s="2" customFormat="1" ht="15.75" customHeight="1" x14ac:dyDescent="0.25">
      <c r="A2" s="96" t="s">
        <v>0</v>
      </c>
      <c r="B2" s="96"/>
      <c r="C2" s="97" t="s">
        <v>1</v>
      </c>
      <c r="D2" s="97"/>
      <c r="E2" s="97"/>
      <c r="F2" s="97"/>
      <c r="G2" s="97"/>
      <c r="H2" s="97"/>
      <c r="J2" s="3"/>
    </row>
    <row r="3" spans="1:13" s="2" customFormat="1" x14ac:dyDescent="0.25">
      <c r="A3" s="96"/>
      <c r="B3" s="96"/>
      <c r="C3" s="97"/>
      <c r="D3" s="97"/>
      <c r="E3" s="97"/>
      <c r="F3" s="97"/>
      <c r="G3" s="97"/>
      <c r="H3" s="97"/>
      <c r="J3" s="3"/>
    </row>
    <row r="4" spans="1:13" s="2" customFormat="1" x14ac:dyDescent="0.25">
      <c r="A4" s="98" t="s">
        <v>2</v>
      </c>
      <c r="B4" s="98"/>
      <c r="C4" s="99" t="s">
        <v>3</v>
      </c>
      <c r="D4" s="99"/>
      <c r="E4" s="99"/>
      <c r="F4" s="99"/>
      <c r="G4" s="99"/>
      <c r="H4" s="99"/>
      <c r="J4" s="3"/>
    </row>
    <row r="5" spans="1:13" s="2" customFormat="1" x14ac:dyDescent="0.25">
      <c r="A5" s="98" t="s">
        <v>4</v>
      </c>
      <c r="B5" s="98"/>
      <c r="C5" s="99" t="s">
        <v>31</v>
      </c>
      <c r="D5" s="99"/>
      <c r="E5" s="99"/>
      <c r="F5" s="99"/>
      <c r="G5" s="99"/>
      <c r="H5" s="99"/>
      <c r="J5" s="3"/>
    </row>
    <row r="6" spans="1:13" s="2" customFormat="1" ht="33.75" customHeight="1" x14ac:dyDescent="0.25">
      <c r="A6" s="96" t="s">
        <v>5</v>
      </c>
      <c r="B6" s="96"/>
      <c r="C6" s="99" t="s">
        <v>6</v>
      </c>
      <c r="D6" s="99"/>
      <c r="E6" s="99"/>
      <c r="F6" s="99"/>
      <c r="G6" s="99"/>
      <c r="H6" s="99"/>
      <c r="J6" s="3"/>
    </row>
    <row r="7" spans="1:13" s="2" customFormat="1" x14ac:dyDescent="0.25">
      <c r="A7" s="96" t="s">
        <v>7</v>
      </c>
      <c r="B7" s="96"/>
      <c r="C7" s="5" t="s">
        <v>32</v>
      </c>
      <c r="D7" s="6"/>
      <c r="E7" s="6"/>
      <c r="F7" s="6"/>
      <c r="G7" s="7"/>
      <c r="H7" s="6"/>
      <c r="J7" s="3"/>
    </row>
    <row r="8" spans="1:13" s="2" customFormat="1" x14ac:dyDescent="0.25">
      <c r="A8" s="98" t="s">
        <v>8</v>
      </c>
      <c r="B8" s="98"/>
      <c r="C8" s="99" t="s">
        <v>33</v>
      </c>
      <c r="D8" s="99"/>
      <c r="E8" s="99"/>
      <c r="F8" s="99"/>
      <c r="G8" s="99"/>
      <c r="H8" s="99"/>
      <c r="J8" s="3"/>
    </row>
    <row r="9" spans="1:13" s="2" customFormat="1" x14ac:dyDescent="0.25">
      <c r="A9" s="98" t="s">
        <v>9</v>
      </c>
      <c r="B9" s="98"/>
      <c r="C9" s="97" t="s">
        <v>34</v>
      </c>
      <c r="D9" s="97"/>
      <c r="E9" s="97"/>
      <c r="F9" s="97"/>
      <c r="G9" s="97"/>
      <c r="H9" s="97"/>
      <c r="J9" s="3"/>
    </row>
    <row r="10" spans="1:13" s="2" customFormat="1" ht="78.75" x14ac:dyDescent="0.25">
      <c r="A10" s="9" t="s">
        <v>10</v>
      </c>
      <c r="B10" s="9" t="s">
        <v>11</v>
      </c>
      <c r="C10" s="9" t="s">
        <v>12</v>
      </c>
      <c r="D10" s="9" t="s">
        <v>13</v>
      </c>
      <c r="E10" s="10" t="s">
        <v>35</v>
      </c>
      <c r="F10" s="10" t="s">
        <v>15</v>
      </c>
      <c r="G10" s="9" t="s">
        <v>16</v>
      </c>
      <c r="H10" s="9" t="s">
        <v>17</v>
      </c>
      <c r="J10" s="3"/>
    </row>
    <row r="11" spans="1:13" s="2" customFormat="1" x14ac:dyDescent="0.25">
      <c r="A11" s="9">
        <v>1</v>
      </c>
      <c r="B11" s="9">
        <v>2</v>
      </c>
      <c r="C11" s="9">
        <v>3</v>
      </c>
      <c r="D11" s="9">
        <v>4</v>
      </c>
      <c r="E11" s="10">
        <v>5</v>
      </c>
      <c r="F11" s="10">
        <v>6</v>
      </c>
      <c r="G11" s="9">
        <v>7</v>
      </c>
      <c r="H11" s="9">
        <v>8</v>
      </c>
      <c r="J11" s="3"/>
    </row>
    <row r="12" spans="1:13" s="2" customFormat="1" ht="42.75" x14ac:dyDescent="0.25">
      <c r="A12" s="15">
        <v>1</v>
      </c>
      <c r="B12" s="15" t="s">
        <v>36</v>
      </c>
      <c r="C12" s="16" t="s">
        <v>37</v>
      </c>
      <c r="D12" s="15" t="s">
        <v>38</v>
      </c>
      <c r="E12" s="15">
        <v>1</v>
      </c>
      <c r="F12" s="15">
        <v>1</v>
      </c>
      <c r="G12" s="15" t="s">
        <v>39</v>
      </c>
      <c r="H12" s="18"/>
      <c r="J12" s="3"/>
      <c r="L12" s="52"/>
      <c r="M12" s="52"/>
    </row>
    <row r="13" spans="1:13" s="2" customFormat="1" ht="30" x14ac:dyDescent="0.25">
      <c r="A13" s="21">
        <v>2</v>
      </c>
      <c r="B13" s="21" t="s">
        <v>20</v>
      </c>
      <c r="C13" s="22" t="s">
        <v>40</v>
      </c>
      <c r="D13" s="21" t="s">
        <v>41</v>
      </c>
      <c r="E13" s="21">
        <v>1</v>
      </c>
      <c r="F13" s="21">
        <v>1</v>
      </c>
      <c r="G13" s="21"/>
      <c r="H13" s="11"/>
      <c r="J13" s="3"/>
      <c r="L13" s="52"/>
      <c r="M13" s="52"/>
    </row>
    <row r="14" spans="1:13" s="2" customFormat="1" ht="42.75" x14ac:dyDescent="0.25">
      <c r="A14" s="15">
        <v>3</v>
      </c>
      <c r="B14" s="15" t="s">
        <v>42</v>
      </c>
      <c r="C14" s="16" t="s">
        <v>43</v>
      </c>
      <c r="D14" s="15" t="s">
        <v>44</v>
      </c>
      <c r="E14" s="15">
        <v>1</v>
      </c>
      <c r="F14" s="15">
        <v>1</v>
      </c>
      <c r="G14" s="15" t="s">
        <v>39</v>
      </c>
      <c r="H14" s="18"/>
      <c r="J14" s="3"/>
    </row>
    <row r="15" spans="1:13" s="2" customFormat="1" ht="30" x14ac:dyDescent="0.25">
      <c r="A15" s="21">
        <v>4</v>
      </c>
      <c r="B15" s="21" t="s">
        <v>20</v>
      </c>
      <c r="C15" s="22" t="s">
        <v>45</v>
      </c>
      <c r="D15" s="21" t="s">
        <v>46</v>
      </c>
      <c r="E15" s="21">
        <v>1</v>
      </c>
      <c r="F15" s="21">
        <v>1</v>
      </c>
      <c r="G15" s="21"/>
      <c r="H15" s="11"/>
      <c r="J15" s="3"/>
    </row>
    <row r="16" spans="1:13" s="2" customFormat="1" x14ac:dyDescent="0.25">
      <c r="A16" s="21">
        <v>5</v>
      </c>
      <c r="B16" s="21" t="s">
        <v>20</v>
      </c>
      <c r="C16" s="22" t="s">
        <v>47</v>
      </c>
      <c r="D16" s="21" t="s">
        <v>22</v>
      </c>
      <c r="E16" s="21">
        <v>1</v>
      </c>
      <c r="F16" s="21">
        <v>1</v>
      </c>
      <c r="G16" s="21"/>
      <c r="H16" s="11"/>
      <c r="J16" s="3"/>
    </row>
    <row r="17" spans="1:10" s="2" customFormat="1" ht="30" x14ac:dyDescent="0.25">
      <c r="A17" s="21">
        <v>7</v>
      </c>
      <c r="B17" s="21" t="s">
        <v>48</v>
      </c>
      <c r="C17" s="22" t="s">
        <v>49</v>
      </c>
      <c r="D17" s="62">
        <v>44789</v>
      </c>
      <c r="E17" s="21">
        <v>1</v>
      </c>
      <c r="F17" s="21">
        <v>1</v>
      </c>
      <c r="G17" s="21"/>
      <c r="H17" s="11"/>
      <c r="J17" s="3"/>
    </row>
    <row r="18" spans="1:10" s="2" customFormat="1" ht="30" x14ac:dyDescent="0.25">
      <c r="A18" s="21">
        <v>8</v>
      </c>
      <c r="B18" s="21" t="s">
        <v>50</v>
      </c>
      <c r="C18" s="22" t="s">
        <v>51</v>
      </c>
      <c r="D18" s="62">
        <v>42558</v>
      </c>
      <c r="E18" s="21">
        <v>1</v>
      </c>
      <c r="F18" s="21">
        <v>1</v>
      </c>
      <c r="G18" s="21"/>
      <c r="H18" s="11"/>
      <c r="J18" s="3"/>
    </row>
    <row r="19" spans="1:10" s="2" customFormat="1" x14ac:dyDescent="0.25">
      <c r="A19" s="46"/>
      <c r="B19" s="47"/>
      <c r="C19" s="63"/>
      <c r="D19" s="47"/>
      <c r="E19" s="47"/>
      <c r="F19" s="47"/>
      <c r="G19" s="47"/>
      <c r="H19" s="46"/>
    </row>
    <row r="20" spans="1:10" s="2" customFormat="1" x14ac:dyDescent="0.25">
      <c r="A20" s="46"/>
      <c r="B20" s="47"/>
      <c r="C20" s="63"/>
      <c r="D20" s="47"/>
      <c r="E20" s="47"/>
      <c r="F20" s="47"/>
      <c r="G20" s="47"/>
      <c r="H20" s="46"/>
    </row>
    <row r="21" spans="1:10" s="2" customFormat="1" x14ac:dyDescent="0.25">
      <c r="A21" s="64"/>
      <c r="B21" s="65"/>
      <c r="C21" s="66"/>
      <c r="D21" s="67"/>
      <c r="E21" s="67"/>
      <c r="F21" s="67"/>
      <c r="G21" s="68"/>
      <c r="H21" s="64"/>
    </row>
    <row r="22" spans="1:10" s="39" customFormat="1" ht="18.75" x14ac:dyDescent="0.3">
      <c r="A22" s="54"/>
      <c r="B22" s="105" t="s">
        <v>52</v>
      </c>
      <c r="C22" s="105"/>
      <c r="D22" s="105"/>
      <c r="E22" s="105"/>
      <c r="F22" s="105"/>
      <c r="G22" s="105"/>
      <c r="H22" s="105"/>
    </row>
    <row r="23" spans="1:10" s="39" customFormat="1" ht="18.75" x14ac:dyDescent="0.3">
      <c r="A23" s="54"/>
      <c r="B23" s="56"/>
      <c r="C23" s="104" t="s">
        <v>29</v>
      </c>
      <c r="D23" s="104"/>
      <c r="E23" s="104"/>
      <c r="F23" s="104"/>
      <c r="G23" s="104"/>
      <c r="H23" s="58"/>
    </row>
    <row r="24" spans="1:10" s="39" customFormat="1" ht="18.75" x14ac:dyDescent="0.3">
      <c r="A24" s="54"/>
      <c r="B24" s="105" t="s">
        <v>53</v>
      </c>
      <c r="C24" s="105"/>
      <c r="D24" s="105"/>
      <c r="E24" s="105"/>
      <c r="F24" s="105"/>
      <c r="G24" s="105"/>
      <c r="H24" s="105"/>
    </row>
    <row r="25" spans="1:10" s="39" customFormat="1" ht="18.75" x14ac:dyDescent="0.3">
      <c r="A25" s="54"/>
      <c r="B25" s="56"/>
      <c r="C25" s="104" t="s">
        <v>29</v>
      </c>
      <c r="D25" s="104"/>
      <c r="E25" s="104"/>
      <c r="F25" s="104"/>
      <c r="G25" s="104"/>
      <c r="H25" s="58"/>
    </row>
    <row r="26" spans="1:10" x14ac:dyDescent="0.25">
      <c r="E26" s="2"/>
      <c r="F26" s="2"/>
    </row>
    <row r="27" spans="1:10" x14ac:dyDescent="0.25">
      <c r="E27" s="2"/>
      <c r="F27" s="2"/>
    </row>
    <row r="28" spans="1:10" x14ac:dyDescent="0.25">
      <c r="E28" s="2"/>
      <c r="F28" s="2"/>
    </row>
    <row r="29" spans="1:10" x14ac:dyDescent="0.25">
      <c r="E29" s="2"/>
      <c r="F29" s="2"/>
    </row>
    <row r="30" spans="1:10" x14ac:dyDescent="0.25">
      <c r="E30" s="2"/>
      <c r="F30" s="2"/>
    </row>
    <row r="31" spans="1:10" x14ac:dyDescent="0.25">
      <c r="E31" s="2"/>
      <c r="F31" s="2"/>
    </row>
    <row r="32" spans="1:10" x14ac:dyDescent="0.25">
      <c r="E32" s="2"/>
      <c r="F32" s="2"/>
    </row>
    <row r="33" spans="5:6" x14ac:dyDescent="0.25">
      <c r="E33" s="2"/>
      <c r="F33" s="2"/>
    </row>
    <row r="34" spans="5:6" x14ac:dyDescent="0.25">
      <c r="E34" s="2"/>
      <c r="F34" s="2"/>
    </row>
    <row r="35" spans="5:6" x14ac:dyDescent="0.25">
      <c r="E35" s="2"/>
      <c r="F35" s="2"/>
    </row>
    <row r="36" spans="5:6" x14ac:dyDescent="0.25">
      <c r="E36" s="2"/>
      <c r="F36" s="2"/>
    </row>
    <row r="37" spans="5:6" x14ac:dyDescent="0.25">
      <c r="E37" s="2"/>
      <c r="F37" s="2"/>
    </row>
    <row r="38" spans="5:6" x14ac:dyDescent="0.25">
      <c r="E38" s="2"/>
      <c r="F38" s="2"/>
    </row>
    <row r="39" spans="5:6" x14ac:dyDescent="0.25">
      <c r="E39" s="2"/>
      <c r="F39" s="2"/>
    </row>
    <row r="40" spans="5:6" x14ac:dyDescent="0.25">
      <c r="E40" s="2"/>
      <c r="F40" s="2"/>
    </row>
    <row r="41" spans="5:6" x14ac:dyDescent="0.25">
      <c r="E41" s="2"/>
      <c r="F41" s="2"/>
    </row>
    <row r="42" spans="5:6" x14ac:dyDescent="0.25">
      <c r="E42" s="2"/>
      <c r="F42" s="2"/>
    </row>
    <row r="43" spans="5:6" x14ac:dyDescent="0.25">
      <c r="E43" s="2"/>
      <c r="F43" s="2"/>
    </row>
    <row r="44" spans="5:6" x14ac:dyDescent="0.25">
      <c r="E44" s="2"/>
      <c r="F44" s="2"/>
    </row>
    <row r="45" spans="5:6" x14ac:dyDescent="0.25">
      <c r="E45" s="2"/>
      <c r="F45" s="2"/>
    </row>
    <row r="46" spans="5:6" x14ac:dyDescent="0.25">
      <c r="E46" s="2"/>
      <c r="F46" s="2"/>
    </row>
    <row r="47" spans="5:6" x14ac:dyDescent="0.25">
      <c r="E47" s="2"/>
      <c r="F47" s="2"/>
    </row>
    <row r="48" spans="5:6" x14ac:dyDescent="0.25">
      <c r="E48" s="2"/>
      <c r="F48" s="2"/>
    </row>
    <row r="49" spans="5:6" x14ac:dyDescent="0.25">
      <c r="E49" s="2"/>
      <c r="F49" s="2"/>
    </row>
    <row r="50" spans="5:6" x14ac:dyDescent="0.25">
      <c r="E50" s="2"/>
      <c r="F50" s="2"/>
    </row>
    <row r="51" spans="5:6" x14ac:dyDescent="0.25">
      <c r="E51" s="2"/>
      <c r="F51" s="2"/>
    </row>
    <row r="52" spans="5:6" x14ac:dyDescent="0.25">
      <c r="E52" s="2"/>
      <c r="F52" s="2"/>
    </row>
    <row r="53" spans="5:6" x14ac:dyDescent="0.25">
      <c r="E53" s="2"/>
      <c r="F53" s="2"/>
    </row>
    <row r="54" spans="5:6" x14ac:dyDescent="0.25">
      <c r="E54" s="2"/>
      <c r="F54" s="2"/>
    </row>
    <row r="55" spans="5:6" x14ac:dyDescent="0.25">
      <c r="E55" s="2"/>
      <c r="F55" s="2"/>
    </row>
    <row r="56" spans="5:6" x14ac:dyDescent="0.25">
      <c r="E56" s="2"/>
      <c r="F56" s="2"/>
    </row>
    <row r="57" spans="5:6" x14ac:dyDescent="0.25">
      <c r="E57" s="2"/>
      <c r="F57" s="2"/>
    </row>
    <row r="58" spans="5:6" x14ac:dyDescent="0.25">
      <c r="E58" s="2"/>
      <c r="F58" s="2"/>
    </row>
    <row r="59" spans="5:6" x14ac:dyDescent="0.25">
      <c r="E59" s="2"/>
      <c r="F59" s="2"/>
    </row>
    <row r="60" spans="5:6" x14ac:dyDescent="0.25">
      <c r="E60" s="2"/>
      <c r="F60" s="2"/>
    </row>
    <row r="61" spans="5:6" x14ac:dyDescent="0.25">
      <c r="E61" s="2"/>
      <c r="F61" s="2"/>
    </row>
    <row r="62" spans="5:6" x14ac:dyDescent="0.25">
      <c r="E62" s="2"/>
      <c r="F62" s="2"/>
    </row>
    <row r="63" spans="5:6" x14ac:dyDescent="0.25">
      <c r="E63" s="2"/>
      <c r="F63" s="2"/>
    </row>
    <row r="64" spans="5:6" x14ac:dyDescent="0.25">
      <c r="E64" s="2"/>
      <c r="F64" s="2"/>
    </row>
    <row r="65" spans="5:6" x14ac:dyDescent="0.25">
      <c r="E65" s="2"/>
      <c r="F65" s="2"/>
    </row>
    <row r="66" spans="5:6" x14ac:dyDescent="0.25">
      <c r="E66" s="2"/>
      <c r="F66" s="2"/>
    </row>
    <row r="67" spans="5:6" x14ac:dyDescent="0.25">
      <c r="E67" s="2"/>
      <c r="F67" s="2"/>
    </row>
    <row r="68" spans="5:6" x14ac:dyDescent="0.25">
      <c r="E68" s="2"/>
      <c r="F68" s="2"/>
    </row>
    <row r="69" spans="5:6" x14ac:dyDescent="0.25">
      <c r="E69" s="2"/>
      <c r="F69" s="2"/>
    </row>
    <row r="70" spans="5:6" x14ac:dyDescent="0.25">
      <c r="E70" s="2"/>
      <c r="F70" s="2"/>
    </row>
    <row r="71" spans="5:6" x14ac:dyDescent="0.25">
      <c r="E71" s="2"/>
      <c r="F71" s="2"/>
    </row>
    <row r="72" spans="5:6" x14ac:dyDescent="0.25">
      <c r="E72" s="2"/>
      <c r="F72" s="2"/>
    </row>
    <row r="73" spans="5:6" x14ac:dyDescent="0.25">
      <c r="E73" s="2"/>
      <c r="F73" s="2"/>
    </row>
    <row r="74" spans="5:6" x14ac:dyDescent="0.25">
      <c r="E74" s="2"/>
      <c r="F74" s="2"/>
    </row>
    <row r="75" spans="5:6" x14ac:dyDescent="0.25">
      <c r="E75" s="2"/>
      <c r="F75" s="2"/>
    </row>
    <row r="76" spans="5:6" x14ac:dyDescent="0.25">
      <c r="E76" s="2"/>
      <c r="F76" s="2"/>
    </row>
    <row r="77" spans="5:6" x14ac:dyDescent="0.25">
      <c r="E77" s="2"/>
      <c r="F77" s="2"/>
    </row>
    <row r="78" spans="5:6" x14ac:dyDescent="0.25">
      <c r="E78" s="2"/>
      <c r="F78" s="2"/>
    </row>
    <row r="79" spans="5:6" x14ac:dyDescent="0.25">
      <c r="E79" s="2"/>
      <c r="F79" s="2"/>
    </row>
    <row r="80" spans="5:6" x14ac:dyDescent="0.25">
      <c r="E80" s="2"/>
      <c r="F80" s="2"/>
    </row>
    <row r="81" spans="5:6" x14ac:dyDescent="0.25">
      <c r="E81" s="2"/>
      <c r="F81" s="2"/>
    </row>
    <row r="82" spans="5:6" x14ac:dyDescent="0.25">
      <c r="E82" s="2"/>
      <c r="F82" s="2"/>
    </row>
    <row r="83" spans="5:6" x14ac:dyDescent="0.25">
      <c r="E83" s="2"/>
      <c r="F83" s="2"/>
    </row>
    <row r="84" spans="5:6" x14ac:dyDescent="0.25">
      <c r="E84" s="2"/>
      <c r="F84" s="2"/>
    </row>
    <row r="85" spans="5:6" x14ac:dyDescent="0.25">
      <c r="E85" s="2"/>
      <c r="F85" s="2"/>
    </row>
    <row r="86" spans="5:6" x14ac:dyDescent="0.25">
      <c r="E86" s="2"/>
      <c r="F86" s="2"/>
    </row>
    <row r="87" spans="5:6" x14ac:dyDescent="0.25">
      <c r="E87" s="2"/>
      <c r="F87" s="2"/>
    </row>
    <row r="88" spans="5:6" x14ac:dyDescent="0.25">
      <c r="E88" s="2"/>
      <c r="F88" s="2"/>
    </row>
    <row r="89" spans="5:6" x14ac:dyDescent="0.25">
      <c r="E89" s="2"/>
      <c r="F89" s="2"/>
    </row>
    <row r="90" spans="5:6" x14ac:dyDescent="0.25">
      <c r="E90" s="2"/>
      <c r="F90" s="2"/>
    </row>
    <row r="91" spans="5:6" x14ac:dyDescent="0.25">
      <c r="E91" s="2"/>
      <c r="F91" s="2"/>
    </row>
    <row r="92" spans="5:6" x14ac:dyDescent="0.25">
      <c r="E92" s="2"/>
      <c r="F92" s="2"/>
    </row>
    <row r="93" spans="5:6" x14ac:dyDescent="0.25">
      <c r="E93" s="2"/>
      <c r="F93" s="2"/>
    </row>
    <row r="94" spans="5:6" x14ac:dyDescent="0.25">
      <c r="E94" s="2"/>
      <c r="F94" s="2"/>
    </row>
    <row r="95" spans="5:6" x14ac:dyDescent="0.25">
      <c r="E95" s="2"/>
      <c r="F95" s="2"/>
    </row>
    <row r="96" spans="5:6" x14ac:dyDescent="0.25">
      <c r="E96" s="2"/>
      <c r="F96" s="2"/>
    </row>
    <row r="97" spans="5:6" x14ac:dyDescent="0.25">
      <c r="E97" s="2"/>
      <c r="F97" s="2"/>
    </row>
    <row r="98" spans="5:6" x14ac:dyDescent="0.25">
      <c r="E98" s="2"/>
      <c r="F98" s="2"/>
    </row>
    <row r="99" spans="5:6" x14ac:dyDescent="0.25">
      <c r="E99" s="2"/>
      <c r="F99" s="2"/>
    </row>
    <row r="100" spans="5:6" x14ac:dyDescent="0.25">
      <c r="E100" s="2"/>
      <c r="F100" s="2"/>
    </row>
    <row r="101" spans="5:6" x14ac:dyDescent="0.25">
      <c r="E101" s="2"/>
      <c r="F101" s="2"/>
    </row>
    <row r="102" spans="5:6" x14ac:dyDescent="0.25">
      <c r="E102" s="2"/>
      <c r="F102" s="2"/>
    </row>
    <row r="103" spans="5:6" x14ac:dyDescent="0.25">
      <c r="E103" s="2"/>
      <c r="F103" s="2"/>
    </row>
    <row r="104" spans="5:6" x14ac:dyDescent="0.25">
      <c r="E104" s="2"/>
      <c r="F104" s="2"/>
    </row>
    <row r="105" spans="5:6" x14ac:dyDescent="0.25">
      <c r="E105" s="2"/>
      <c r="F105" s="2"/>
    </row>
    <row r="106" spans="5:6" x14ac:dyDescent="0.25">
      <c r="E106" s="2"/>
      <c r="F106" s="2"/>
    </row>
    <row r="107" spans="5:6" x14ac:dyDescent="0.25">
      <c r="E107" s="2"/>
      <c r="F107" s="2"/>
    </row>
    <row r="108" spans="5:6" x14ac:dyDescent="0.25">
      <c r="E108" s="2"/>
      <c r="F108" s="2"/>
    </row>
    <row r="109" spans="5:6" x14ac:dyDescent="0.25">
      <c r="E109" s="2"/>
      <c r="F109" s="2"/>
    </row>
    <row r="110" spans="5:6" x14ac:dyDescent="0.25">
      <c r="E110" s="2"/>
      <c r="F110" s="2"/>
    </row>
    <row r="111" spans="5:6" x14ac:dyDescent="0.25">
      <c r="E111" s="2"/>
      <c r="F111" s="2"/>
    </row>
    <row r="112" spans="5:6" x14ac:dyDescent="0.25">
      <c r="E112" s="2"/>
      <c r="F112" s="2"/>
    </row>
    <row r="113" spans="5:6" x14ac:dyDescent="0.25">
      <c r="E113" s="2"/>
      <c r="F113" s="2"/>
    </row>
    <row r="114" spans="5:6" x14ac:dyDescent="0.25">
      <c r="E114" s="2"/>
      <c r="F114" s="2"/>
    </row>
    <row r="115" spans="5:6" x14ac:dyDescent="0.25">
      <c r="E115" s="2"/>
      <c r="F115" s="2"/>
    </row>
    <row r="116" spans="5:6" x14ac:dyDescent="0.25">
      <c r="E116" s="2"/>
      <c r="F116" s="2"/>
    </row>
    <row r="117" spans="5:6" x14ac:dyDescent="0.25">
      <c r="E117" s="2"/>
      <c r="F117" s="2"/>
    </row>
    <row r="118" spans="5:6" x14ac:dyDescent="0.25">
      <c r="E118" s="2"/>
      <c r="F118" s="2"/>
    </row>
    <row r="119" spans="5:6" x14ac:dyDescent="0.25">
      <c r="E119" s="2"/>
      <c r="F119" s="2"/>
    </row>
    <row r="120" spans="5:6" x14ac:dyDescent="0.25">
      <c r="E120" s="2"/>
      <c r="F120" s="2"/>
    </row>
    <row r="121" spans="5:6" x14ac:dyDescent="0.25">
      <c r="E121" s="2"/>
      <c r="F121" s="2"/>
    </row>
    <row r="122" spans="5:6" x14ac:dyDescent="0.25">
      <c r="E122" s="2"/>
      <c r="F122" s="2"/>
    </row>
    <row r="123" spans="5:6" x14ac:dyDescent="0.25">
      <c r="E123" s="2"/>
      <c r="F123" s="2"/>
    </row>
    <row r="124" spans="5:6" x14ac:dyDescent="0.25">
      <c r="E124" s="2"/>
      <c r="F124" s="2"/>
    </row>
    <row r="125" spans="5:6" x14ac:dyDescent="0.25">
      <c r="E125" s="2"/>
      <c r="F125" s="2"/>
    </row>
    <row r="126" spans="5:6" x14ac:dyDescent="0.25">
      <c r="E126" s="2"/>
      <c r="F126" s="2"/>
    </row>
    <row r="127" spans="5:6" x14ac:dyDescent="0.25">
      <c r="E127" s="2"/>
      <c r="F127" s="2"/>
    </row>
    <row r="128" spans="5:6" x14ac:dyDescent="0.25">
      <c r="E128" s="2"/>
      <c r="F128" s="2"/>
    </row>
    <row r="129" spans="5:6" x14ac:dyDescent="0.25">
      <c r="E129" s="2"/>
      <c r="F129" s="2"/>
    </row>
    <row r="130" spans="5:6" x14ac:dyDescent="0.25">
      <c r="E130" s="2"/>
      <c r="F130" s="2"/>
    </row>
    <row r="131" spans="5:6" x14ac:dyDescent="0.25">
      <c r="E131" s="2"/>
      <c r="F131" s="2"/>
    </row>
    <row r="132" spans="5:6" x14ac:dyDescent="0.25">
      <c r="E132" s="2"/>
      <c r="F132" s="2"/>
    </row>
    <row r="133" spans="5:6" x14ac:dyDescent="0.25">
      <c r="E133" s="2"/>
      <c r="F133" s="2"/>
    </row>
    <row r="134" spans="5:6" x14ac:dyDescent="0.25">
      <c r="E134" s="2"/>
      <c r="F134" s="2"/>
    </row>
    <row r="135" spans="5:6" x14ac:dyDescent="0.25">
      <c r="E135" s="2"/>
      <c r="F135" s="2"/>
    </row>
    <row r="136" spans="5:6" x14ac:dyDescent="0.25">
      <c r="E136" s="2"/>
      <c r="F136" s="2"/>
    </row>
    <row r="137" spans="5:6" x14ac:dyDescent="0.25">
      <c r="E137" s="2"/>
      <c r="F137" s="2"/>
    </row>
    <row r="138" spans="5:6" x14ac:dyDescent="0.25">
      <c r="E138" s="2"/>
      <c r="F138" s="2"/>
    </row>
    <row r="139" spans="5:6" x14ac:dyDescent="0.25">
      <c r="E139" s="2"/>
      <c r="F139" s="2"/>
    </row>
    <row r="140" spans="5:6" x14ac:dyDescent="0.25">
      <c r="E140" s="2"/>
      <c r="F140" s="2"/>
    </row>
    <row r="141" spans="5:6" x14ac:dyDescent="0.25">
      <c r="E141" s="2"/>
      <c r="F141" s="2"/>
    </row>
    <row r="142" spans="5:6" x14ac:dyDescent="0.25">
      <c r="E142" s="2"/>
      <c r="F142" s="2"/>
    </row>
    <row r="143" spans="5:6" x14ac:dyDescent="0.25">
      <c r="E143" s="2"/>
      <c r="F143" s="2"/>
    </row>
    <row r="144" spans="5:6" x14ac:dyDescent="0.25">
      <c r="E144" s="2"/>
      <c r="F144" s="2"/>
    </row>
    <row r="145" spans="5:6" x14ac:dyDescent="0.25">
      <c r="E145" s="2"/>
      <c r="F145" s="2"/>
    </row>
    <row r="146" spans="5:6" x14ac:dyDescent="0.25">
      <c r="E146" s="2"/>
      <c r="F146" s="2"/>
    </row>
    <row r="147" spans="5:6" x14ac:dyDescent="0.25">
      <c r="E147" s="2"/>
      <c r="F147" s="2"/>
    </row>
    <row r="148" spans="5:6" x14ac:dyDescent="0.25">
      <c r="E148" s="2"/>
      <c r="F148" s="2"/>
    </row>
    <row r="149" spans="5:6" x14ac:dyDescent="0.25">
      <c r="E149" s="2"/>
      <c r="F149" s="2"/>
    </row>
    <row r="150" spans="5:6" x14ac:dyDescent="0.25">
      <c r="E150" s="2"/>
      <c r="F150" s="2"/>
    </row>
    <row r="151" spans="5:6" x14ac:dyDescent="0.25">
      <c r="E151" s="2"/>
      <c r="F151" s="2"/>
    </row>
    <row r="152" spans="5:6" x14ac:dyDescent="0.25">
      <c r="E152" s="2"/>
      <c r="F152" s="2"/>
    </row>
    <row r="153" spans="5:6" x14ac:dyDescent="0.25">
      <c r="E153" s="2"/>
      <c r="F153" s="2"/>
    </row>
    <row r="154" spans="5:6" x14ac:dyDescent="0.25">
      <c r="E154" s="2"/>
      <c r="F154" s="2"/>
    </row>
    <row r="155" spans="5:6" x14ac:dyDescent="0.25">
      <c r="E155" s="2"/>
      <c r="F155" s="2"/>
    </row>
    <row r="156" spans="5:6" x14ac:dyDescent="0.25">
      <c r="E156" s="2"/>
      <c r="F156" s="2"/>
    </row>
    <row r="157" spans="5:6" x14ac:dyDescent="0.25">
      <c r="E157" s="2"/>
      <c r="F157" s="2"/>
    </row>
    <row r="158" spans="5:6" x14ac:dyDescent="0.25">
      <c r="E158" s="2"/>
      <c r="F158" s="2"/>
    </row>
    <row r="159" spans="5:6" x14ac:dyDescent="0.25">
      <c r="E159" s="2"/>
      <c r="F159" s="2"/>
    </row>
    <row r="160" spans="5:6" x14ac:dyDescent="0.25">
      <c r="E160" s="2"/>
      <c r="F160" s="2"/>
    </row>
    <row r="161" spans="5:6" x14ac:dyDescent="0.25">
      <c r="E161" s="2"/>
      <c r="F161" s="2"/>
    </row>
    <row r="162" spans="5:6" x14ac:dyDescent="0.25">
      <c r="E162" s="2"/>
      <c r="F162" s="2"/>
    </row>
    <row r="163" spans="5:6" x14ac:dyDescent="0.25">
      <c r="E163" s="2"/>
      <c r="F163" s="2"/>
    </row>
    <row r="164" spans="5:6" x14ac:dyDescent="0.25">
      <c r="E164" s="2"/>
      <c r="F164" s="2"/>
    </row>
    <row r="165" spans="5:6" x14ac:dyDescent="0.25">
      <c r="E165" s="2"/>
      <c r="F165" s="2"/>
    </row>
    <row r="166" spans="5:6" x14ac:dyDescent="0.25">
      <c r="E166" s="2"/>
      <c r="F166" s="2"/>
    </row>
    <row r="167" spans="5:6" x14ac:dyDescent="0.25">
      <c r="E167" s="2"/>
      <c r="F167" s="2"/>
    </row>
    <row r="168" spans="5:6" x14ac:dyDescent="0.25">
      <c r="E168" s="2"/>
      <c r="F168" s="2"/>
    </row>
    <row r="169" spans="5:6" x14ac:dyDescent="0.25">
      <c r="E169" s="2"/>
      <c r="F169" s="2"/>
    </row>
    <row r="170" spans="5:6" x14ac:dyDescent="0.25">
      <c r="E170" s="2"/>
      <c r="F170" s="2"/>
    </row>
    <row r="171" spans="5:6" x14ac:dyDescent="0.25">
      <c r="E171" s="2"/>
      <c r="F171" s="2"/>
    </row>
    <row r="172" spans="5:6" x14ac:dyDescent="0.25">
      <c r="E172" s="2"/>
      <c r="F172" s="2"/>
    </row>
    <row r="173" spans="5:6" x14ac:dyDescent="0.25">
      <c r="E173" s="2"/>
      <c r="F173" s="2"/>
    </row>
    <row r="174" spans="5:6" x14ac:dyDescent="0.25">
      <c r="E174" s="2"/>
      <c r="F174" s="2"/>
    </row>
    <row r="175" spans="5:6" x14ac:dyDescent="0.25">
      <c r="E175" s="2"/>
      <c r="F175" s="2"/>
    </row>
    <row r="176" spans="5:6" x14ac:dyDescent="0.25">
      <c r="E176" s="2"/>
      <c r="F176" s="2"/>
    </row>
    <row r="177" spans="5:6" x14ac:dyDescent="0.25">
      <c r="E177" s="2"/>
      <c r="F177" s="2"/>
    </row>
    <row r="178" spans="5:6" x14ac:dyDescent="0.25">
      <c r="E178" s="2"/>
      <c r="F178" s="2"/>
    </row>
    <row r="179" spans="5:6" x14ac:dyDescent="0.25">
      <c r="E179" s="2"/>
      <c r="F179" s="2"/>
    </row>
    <row r="180" spans="5:6" x14ac:dyDescent="0.25">
      <c r="E180" s="2"/>
      <c r="F180" s="2"/>
    </row>
    <row r="181" spans="5:6" x14ac:dyDescent="0.25">
      <c r="E181" s="2"/>
      <c r="F181" s="2"/>
    </row>
    <row r="182" spans="5:6" x14ac:dyDescent="0.25">
      <c r="E182" s="2"/>
      <c r="F182" s="2"/>
    </row>
    <row r="183" spans="5:6" x14ac:dyDescent="0.25">
      <c r="E183" s="2"/>
      <c r="F183" s="2"/>
    </row>
    <row r="184" spans="5:6" x14ac:dyDescent="0.25">
      <c r="E184" s="2"/>
      <c r="F184" s="2"/>
    </row>
    <row r="185" spans="5:6" x14ac:dyDescent="0.25">
      <c r="E185" s="2"/>
      <c r="F185" s="2"/>
    </row>
    <row r="186" spans="5:6" x14ac:dyDescent="0.25">
      <c r="E186" s="2"/>
      <c r="F186" s="2"/>
    </row>
    <row r="187" spans="5:6" x14ac:dyDescent="0.25">
      <c r="E187" s="2"/>
      <c r="F187" s="2"/>
    </row>
    <row r="188" spans="5:6" x14ac:dyDescent="0.25">
      <c r="E188" s="2"/>
      <c r="F188" s="2"/>
    </row>
    <row r="189" spans="5:6" x14ac:dyDescent="0.25">
      <c r="E189" s="2"/>
      <c r="F189" s="2"/>
    </row>
    <row r="190" spans="5:6" x14ac:dyDescent="0.25">
      <c r="E190" s="2"/>
      <c r="F190" s="2"/>
    </row>
    <row r="191" spans="5:6" x14ac:dyDescent="0.25">
      <c r="E191" s="2"/>
      <c r="F191" s="2"/>
    </row>
    <row r="192" spans="5:6" x14ac:dyDescent="0.25">
      <c r="E192" s="2"/>
      <c r="F192" s="2"/>
    </row>
    <row r="193" spans="5:6" x14ac:dyDescent="0.25">
      <c r="E193" s="2"/>
      <c r="F193" s="2"/>
    </row>
    <row r="194" spans="5:6" x14ac:dyDescent="0.25">
      <c r="E194" s="2"/>
      <c r="F194" s="2"/>
    </row>
    <row r="195" spans="5:6" x14ac:dyDescent="0.25">
      <c r="E195" s="2"/>
      <c r="F195" s="2"/>
    </row>
    <row r="196" spans="5:6" x14ac:dyDescent="0.25">
      <c r="E196" s="2"/>
      <c r="F196" s="2"/>
    </row>
    <row r="197" spans="5:6" x14ac:dyDescent="0.25">
      <c r="E197" s="2"/>
      <c r="F197" s="2"/>
    </row>
    <row r="198" spans="5:6" x14ac:dyDescent="0.25">
      <c r="E198" s="2"/>
      <c r="F198" s="2"/>
    </row>
    <row r="199" spans="5:6" x14ac:dyDescent="0.25">
      <c r="E199" s="2"/>
      <c r="F199" s="2"/>
    </row>
    <row r="200" spans="5:6" x14ac:dyDescent="0.25">
      <c r="E200" s="2"/>
      <c r="F200" s="2"/>
    </row>
    <row r="201" spans="5:6" x14ac:dyDescent="0.25">
      <c r="E201" s="2"/>
      <c r="F201" s="2"/>
    </row>
    <row r="202" spans="5:6" x14ac:dyDescent="0.25">
      <c r="E202" s="2"/>
      <c r="F202" s="2"/>
    </row>
    <row r="203" spans="5:6" x14ac:dyDescent="0.25">
      <c r="E203" s="2"/>
      <c r="F203" s="2"/>
    </row>
    <row r="204" spans="5:6" x14ac:dyDescent="0.25">
      <c r="E204" s="2"/>
      <c r="F204" s="2"/>
    </row>
    <row r="205" spans="5:6" x14ac:dyDescent="0.25">
      <c r="E205" s="2"/>
      <c r="F205" s="2"/>
    </row>
    <row r="206" spans="5:6" x14ac:dyDescent="0.25">
      <c r="E206" s="2"/>
      <c r="F206" s="2"/>
    </row>
    <row r="207" spans="5:6" x14ac:dyDescent="0.25">
      <c r="E207" s="2"/>
      <c r="F207" s="2"/>
    </row>
    <row r="208" spans="5:6" x14ac:dyDescent="0.25">
      <c r="E208" s="2"/>
      <c r="F208" s="2"/>
    </row>
    <row r="209" spans="5:6" x14ac:dyDescent="0.25">
      <c r="E209" s="2"/>
      <c r="F209" s="2"/>
    </row>
    <row r="210" spans="5:6" x14ac:dyDescent="0.25">
      <c r="E210" s="2"/>
      <c r="F210" s="2"/>
    </row>
    <row r="211" spans="5:6" x14ac:dyDescent="0.25">
      <c r="E211" s="2"/>
      <c r="F211" s="2"/>
    </row>
    <row r="212" spans="5:6" x14ac:dyDescent="0.25">
      <c r="E212" s="2"/>
      <c r="F212" s="2"/>
    </row>
    <row r="213" spans="5:6" x14ac:dyDescent="0.25">
      <c r="E213" s="2"/>
      <c r="F213" s="2"/>
    </row>
    <row r="214" spans="5:6" x14ac:dyDescent="0.25">
      <c r="E214" s="2"/>
      <c r="F214" s="2"/>
    </row>
    <row r="215" spans="5:6" x14ac:dyDescent="0.25">
      <c r="E215" s="2"/>
      <c r="F215" s="2"/>
    </row>
    <row r="216" spans="5:6" x14ac:dyDescent="0.25">
      <c r="E216" s="2"/>
      <c r="F216" s="2"/>
    </row>
    <row r="217" spans="5:6" x14ac:dyDescent="0.25">
      <c r="E217" s="2"/>
      <c r="F217" s="2"/>
    </row>
    <row r="218" spans="5:6" x14ac:dyDescent="0.25">
      <c r="E218" s="2"/>
      <c r="F218" s="2"/>
    </row>
    <row r="219" spans="5:6" x14ac:dyDescent="0.25">
      <c r="E219" s="2"/>
      <c r="F219" s="2"/>
    </row>
    <row r="220" spans="5:6" x14ac:dyDescent="0.25">
      <c r="E220" s="2"/>
      <c r="F220" s="2"/>
    </row>
    <row r="221" spans="5:6" x14ac:dyDescent="0.25">
      <c r="E221" s="2"/>
      <c r="F221" s="2"/>
    </row>
    <row r="222" spans="5:6" x14ac:dyDescent="0.25">
      <c r="E222" s="2"/>
      <c r="F222" s="2"/>
    </row>
    <row r="223" spans="5:6" x14ac:dyDescent="0.25">
      <c r="E223" s="2"/>
      <c r="F223" s="2"/>
    </row>
    <row r="224" spans="5:6" x14ac:dyDescent="0.25">
      <c r="E224" s="2"/>
      <c r="F224" s="2"/>
    </row>
    <row r="225" spans="5:6" x14ac:dyDescent="0.25">
      <c r="E225" s="2"/>
      <c r="F225" s="2"/>
    </row>
    <row r="226" spans="5:6" x14ac:dyDescent="0.25">
      <c r="E226" s="2"/>
      <c r="F226" s="2"/>
    </row>
    <row r="227" spans="5:6" x14ac:dyDescent="0.25">
      <c r="E227" s="2"/>
      <c r="F227" s="2"/>
    </row>
    <row r="228" spans="5:6" x14ac:dyDescent="0.25">
      <c r="E228" s="2"/>
      <c r="F228" s="2"/>
    </row>
    <row r="229" spans="5:6" x14ac:dyDescent="0.25">
      <c r="E229" s="2"/>
      <c r="F229" s="2"/>
    </row>
    <row r="230" spans="5:6" x14ac:dyDescent="0.25">
      <c r="E230" s="2"/>
      <c r="F230" s="2"/>
    </row>
    <row r="231" spans="5:6" x14ac:dyDescent="0.25">
      <c r="E231" s="2"/>
      <c r="F231" s="2"/>
    </row>
    <row r="232" spans="5:6" x14ac:dyDescent="0.25">
      <c r="E232" s="2"/>
      <c r="F232" s="2"/>
    </row>
    <row r="233" spans="5:6" x14ac:dyDescent="0.25">
      <c r="E233" s="2"/>
      <c r="F233" s="2"/>
    </row>
    <row r="234" spans="5:6" x14ac:dyDescent="0.25">
      <c r="E234" s="2"/>
      <c r="F234" s="2"/>
    </row>
    <row r="235" spans="5:6" x14ac:dyDescent="0.25">
      <c r="E235" s="2"/>
      <c r="F235" s="2"/>
    </row>
    <row r="236" spans="5:6" x14ac:dyDescent="0.25">
      <c r="E236" s="2"/>
      <c r="F236" s="2"/>
    </row>
    <row r="237" spans="5:6" x14ac:dyDescent="0.25">
      <c r="E237" s="2"/>
      <c r="F237" s="2"/>
    </row>
    <row r="238" spans="5:6" x14ac:dyDescent="0.25">
      <c r="E238" s="2"/>
      <c r="F238" s="2"/>
    </row>
    <row r="239" spans="5:6" x14ac:dyDescent="0.25">
      <c r="E239" s="2"/>
      <c r="F239" s="2"/>
    </row>
    <row r="240" spans="5:6" x14ac:dyDescent="0.25">
      <c r="E240" s="2"/>
      <c r="F240" s="2"/>
    </row>
    <row r="241" spans="5:6" x14ac:dyDescent="0.25">
      <c r="E241" s="2"/>
      <c r="F241" s="2"/>
    </row>
    <row r="242" spans="5:6" x14ac:dyDescent="0.25">
      <c r="E242" s="2"/>
      <c r="F242" s="2"/>
    </row>
    <row r="243" spans="5:6" x14ac:dyDescent="0.25">
      <c r="E243" s="2"/>
      <c r="F243" s="2"/>
    </row>
    <row r="244" spans="5:6" x14ac:dyDescent="0.25">
      <c r="E244" s="2"/>
      <c r="F244" s="2"/>
    </row>
    <row r="245" spans="5:6" x14ac:dyDescent="0.25">
      <c r="E245" s="2"/>
      <c r="F245" s="2"/>
    </row>
    <row r="246" spans="5:6" x14ac:dyDescent="0.25">
      <c r="E246" s="2"/>
      <c r="F246" s="2"/>
    </row>
    <row r="247" spans="5:6" x14ac:dyDescent="0.25">
      <c r="E247" s="2"/>
      <c r="F247" s="2"/>
    </row>
    <row r="248" spans="5:6" x14ac:dyDescent="0.25">
      <c r="E248" s="2"/>
      <c r="F248" s="2"/>
    </row>
    <row r="249" spans="5:6" x14ac:dyDescent="0.25">
      <c r="E249" s="2"/>
      <c r="F249" s="2"/>
    </row>
    <row r="250" spans="5:6" x14ac:dyDescent="0.25">
      <c r="E250" s="2"/>
      <c r="F250" s="2"/>
    </row>
    <row r="251" spans="5:6" x14ac:dyDescent="0.25">
      <c r="E251" s="2"/>
      <c r="F251" s="2"/>
    </row>
    <row r="252" spans="5:6" x14ac:dyDescent="0.25">
      <c r="E252" s="2"/>
      <c r="F252" s="2"/>
    </row>
    <row r="253" spans="5:6" x14ac:dyDescent="0.25">
      <c r="E253" s="2"/>
      <c r="F253" s="2"/>
    </row>
    <row r="254" spans="5:6" x14ac:dyDescent="0.25">
      <c r="E254" s="2"/>
      <c r="F254" s="2"/>
    </row>
    <row r="255" spans="5:6" x14ac:dyDescent="0.25">
      <c r="E255" s="2"/>
      <c r="F255" s="2"/>
    </row>
    <row r="256" spans="5:6" x14ac:dyDescent="0.25">
      <c r="E256" s="2"/>
      <c r="F256" s="2"/>
    </row>
    <row r="257" spans="5:6" x14ac:dyDescent="0.25">
      <c r="E257" s="2"/>
      <c r="F257" s="2"/>
    </row>
    <row r="258" spans="5:6" x14ac:dyDescent="0.25">
      <c r="E258" s="2"/>
      <c r="F258" s="2"/>
    </row>
    <row r="259" spans="5:6" x14ac:dyDescent="0.25">
      <c r="E259" s="2"/>
      <c r="F259" s="2"/>
    </row>
    <row r="260" spans="5:6" x14ac:dyDescent="0.25">
      <c r="E260" s="2"/>
      <c r="F260" s="2"/>
    </row>
    <row r="261" spans="5:6" x14ac:dyDescent="0.25">
      <c r="E261" s="2"/>
      <c r="F261" s="2"/>
    </row>
    <row r="262" spans="5:6" x14ac:dyDescent="0.25">
      <c r="E262" s="2"/>
      <c r="F262" s="2"/>
    </row>
    <row r="263" spans="5:6" x14ac:dyDescent="0.25">
      <c r="E263" s="2"/>
      <c r="F263" s="2"/>
    </row>
    <row r="264" spans="5:6" x14ac:dyDescent="0.25">
      <c r="E264" s="2"/>
      <c r="F264" s="2"/>
    </row>
    <row r="265" spans="5:6" x14ac:dyDescent="0.25">
      <c r="E265" s="2"/>
      <c r="F265" s="2"/>
    </row>
    <row r="266" spans="5:6" x14ac:dyDescent="0.25">
      <c r="E266" s="2"/>
      <c r="F266" s="2"/>
    </row>
    <row r="267" spans="5:6" x14ac:dyDescent="0.25">
      <c r="E267" s="2"/>
      <c r="F267" s="2"/>
    </row>
    <row r="268" spans="5:6" x14ac:dyDescent="0.25">
      <c r="E268" s="2"/>
      <c r="F268" s="2"/>
    </row>
    <row r="269" spans="5:6" x14ac:dyDescent="0.25">
      <c r="E269" s="2"/>
      <c r="F269" s="2"/>
    </row>
    <row r="270" spans="5:6" x14ac:dyDescent="0.25">
      <c r="E270" s="2"/>
      <c r="F270" s="2"/>
    </row>
    <row r="271" spans="5:6" x14ac:dyDescent="0.25">
      <c r="E271" s="2"/>
      <c r="F271" s="2"/>
    </row>
    <row r="272" spans="5:6" x14ac:dyDescent="0.25">
      <c r="E272" s="2"/>
      <c r="F272" s="2"/>
    </row>
    <row r="273" spans="5:6" x14ac:dyDescent="0.25">
      <c r="E273" s="2"/>
      <c r="F273" s="2"/>
    </row>
    <row r="274" spans="5:6" x14ac:dyDescent="0.25">
      <c r="E274" s="2"/>
      <c r="F274" s="2"/>
    </row>
    <row r="275" spans="5:6" x14ac:dyDescent="0.25">
      <c r="E275" s="2"/>
      <c r="F275" s="2"/>
    </row>
    <row r="276" spans="5:6" x14ac:dyDescent="0.25">
      <c r="E276" s="2"/>
      <c r="F276" s="2"/>
    </row>
    <row r="277" spans="5:6" x14ac:dyDescent="0.25">
      <c r="E277" s="2"/>
      <c r="F277" s="2"/>
    </row>
    <row r="278" spans="5:6" x14ac:dyDescent="0.25">
      <c r="E278" s="2"/>
      <c r="F278" s="2"/>
    </row>
    <row r="279" spans="5:6" x14ac:dyDescent="0.25">
      <c r="E279" s="2"/>
      <c r="F279" s="2"/>
    </row>
    <row r="280" spans="5:6" x14ac:dyDescent="0.25">
      <c r="E280" s="2"/>
      <c r="F280" s="2"/>
    </row>
    <row r="281" spans="5:6" x14ac:dyDescent="0.25">
      <c r="E281" s="2"/>
      <c r="F281" s="2"/>
    </row>
    <row r="282" spans="5:6" x14ac:dyDescent="0.25">
      <c r="E282" s="2"/>
      <c r="F282" s="2"/>
    </row>
    <row r="283" spans="5:6" x14ac:dyDescent="0.25">
      <c r="E283" s="2"/>
      <c r="F283" s="2"/>
    </row>
    <row r="284" spans="5:6" x14ac:dyDescent="0.25">
      <c r="E284" s="2"/>
      <c r="F284" s="2"/>
    </row>
    <row r="285" spans="5:6" x14ac:dyDescent="0.25">
      <c r="E285" s="2"/>
      <c r="F285" s="2"/>
    </row>
    <row r="286" spans="5:6" x14ac:dyDescent="0.25">
      <c r="E286" s="2"/>
      <c r="F286" s="2"/>
    </row>
    <row r="287" spans="5:6" x14ac:dyDescent="0.25">
      <c r="E287" s="2"/>
      <c r="F287" s="2"/>
    </row>
    <row r="288" spans="5:6" x14ac:dyDescent="0.25">
      <c r="E288" s="2"/>
      <c r="F288" s="2"/>
    </row>
    <row r="289" spans="5:6" x14ac:dyDescent="0.25">
      <c r="E289" s="2"/>
      <c r="F289" s="2"/>
    </row>
    <row r="290" spans="5:6" x14ac:dyDescent="0.25">
      <c r="E290" s="2"/>
      <c r="F290" s="2"/>
    </row>
    <row r="291" spans="5:6" x14ac:dyDescent="0.25">
      <c r="E291" s="2"/>
      <c r="F291" s="2"/>
    </row>
    <row r="292" spans="5:6" x14ac:dyDescent="0.25">
      <c r="E292" s="2"/>
      <c r="F292" s="2"/>
    </row>
    <row r="293" spans="5:6" x14ac:dyDescent="0.25">
      <c r="E293" s="2"/>
      <c r="F293" s="2"/>
    </row>
    <row r="294" spans="5:6" x14ac:dyDescent="0.25">
      <c r="E294" s="2"/>
      <c r="F294" s="2"/>
    </row>
    <row r="295" spans="5:6" x14ac:dyDescent="0.25">
      <c r="E295" s="2"/>
      <c r="F295" s="2"/>
    </row>
    <row r="296" spans="5:6" x14ac:dyDescent="0.25">
      <c r="E296" s="2"/>
      <c r="F296" s="2"/>
    </row>
    <row r="297" spans="5:6" x14ac:dyDescent="0.25">
      <c r="E297" s="2"/>
      <c r="F297" s="2"/>
    </row>
    <row r="298" spans="5:6" x14ac:dyDescent="0.25">
      <c r="E298" s="2"/>
      <c r="F298" s="2"/>
    </row>
    <row r="299" spans="5:6" x14ac:dyDescent="0.25">
      <c r="E299" s="2"/>
      <c r="F299" s="2"/>
    </row>
    <row r="300" spans="5:6" x14ac:dyDescent="0.25">
      <c r="E300" s="2"/>
      <c r="F300" s="2"/>
    </row>
    <row r="301" spans="5:6" x14ac:dyDescent="0.25">
      <c r="E301" s="2"/>
      <c r="F301" s="2"/>
    </row>
    <row r="302" spans="5:6" x14ac:dyDescent="0.25">
      <c r="E302" s="2"/>
      <c r="F302" s="2"/>
    </row>
    <row r="303" spans="5:6" x14ac:dyDescent="0.25">
      <c r="E303" s="2"/>
      <c r="F303" s="2"/>
    </row>
    <row r="304" spans="5:6" x14ac:dyDescent="0.25">
      <c r="E304" s="2"/>
      <c r="F304" s="2"/>
    </row>
    <row r="305" spans="5:6" x14ac:dyDescent="0.25">
      <c r="E305" s="2"/>
      <c r="F305" s="2"/>
    </row>
    <row r="306" spans="5:6" x14ac:dyDescent="0.25">
      <c r="E306" s="2"/>
      <c r="F306" s="2"/>
    </row>
    <row r="307" spans="5:6" x14ac:dyDescent="0.25">
      <c r="E307" s="2"/>
      <c r="F307" s="2"/>
    </row>
    <row r="308" spans="5:6" x14ac:dyDescent="0.25">
      <c r="E308" s="2"/>
      <c r="F308" s="2"/>
    </row>
    <row r="309" spans="5:6" x14ac:dyDescent="0.25">
      <c r="E309" s="2"/>
      <c r="F309" s="2"/>
    </row>
    <row r="310" spans="5:6" x14ac:dyDescent="0.25">
      <c r="E310" s="2"/>
      <c r="F310" s="2"/>
    </row>
    <row r="311" spans="5:6" x14ac:dyDescent="0.25">
      <c r="E311" s="2"/>
      <c r="F311" s="2"/>
    </row>
    <row r="312" spans="5:6" x14ac:dyDescent="0.25">
      <c r="E312" s="2"/>
      <c r="F312" s="2"/>
    </row>
    <row r="313" spans="5:6" x14ac:dyDescent="0.25">
      <c r="E313" s="2"/>
      <c r="F313" s="2"/>
    </row>
    <row r="314" spans="5:6" x14ac:dyDescent="0.25">
      <c r="E314" s="2"/>
      <c r="F314" s="2"/>
    </row>
    <row r="315" spans="5:6" x14ac:dyDescent="0.25">
      <c r="E315" s="2"/>
      <c r="F315" s="2"/>
    </row>
    <row r="316" spans="5:6" x14ac:dyDescent="0.25">
      <c r="E316" s="2"/>
      <c r="F316" s="2"/>
    </row>
    <row r="317" spans="5:6" x14ac:dyDescent="0.25">
      <c r="E317" s="2"/>
      <c r="F317" s="2"/>
    </row>
    <row r="318" spans="5:6" x14ac:dyDescent="0.25">
      <c r="E318" s="2"/>
      <c r="F318" s="2"/>
    </row>
    <row r="319" spans="5:6" x14ac:dyDescent="0.25">
      <c r="E319" s="2"/>
      <c r="F319" s="2"/>
    </row>
    <row r="320" spans="5:6" x14ac:dyDescent="0.25">
      <c r="E320" s="2"/>
      <c r="F320" s="2"/>
    </row>
    <row r="321" spans="5:6" x14ac:dyDescent="0.25">
      <c r="E321" s="2"/>
      <c r="F321" s="2"/>
    </row>
    <row r="322" spans="5:6" x14ac:dyDescent="0.25">
      <c r="E322" s="2"/>
      <c r="F322" s="2"/>
    </row>
    <row r="323" spans="5:6" x14ac:dyDescent="0.25">
      <c r="E323" s="2"/>
      <c r="F323" s="2"/>
    </row>
    <row r="324" spans="5:6" x14ac:dyDescent="0.25">
      <c r="E324" s="2"/>
      <c r="F324" s="2"/>
    </row>
    <row r="325" spans="5:6" x14ac:dyDescent="0.25">
      <c r="E325" s="2"/>
      <c r="F325" s="2"/>
    </row>
    <row r="326" spans="5:6" x14ac:dyDescent="0.25">
      <c r="E326" s="2"/>
      <c r="F326" s="2"/>
    </row>
    <row r="327" spans="5:6" x14ac:dyDescent="0.25">
      <c r="E327" s="2"/>
      <c r="F327" s="2"/>
    </row>
    <row r="328" spans="5:6" x14ac:dyDescent="0.25">
      <c r="E328" s="2"/>
      <c r="F328" s="2"/>
    </row>
    <row r="329" spans="5:6" x14ac:dyDescent="0.25">
      <c r="E329" s="2"/>
      <c r="F329" s="2"/>
    </row>
    <row r="330" spans="5:6" x14ac:dyDescent="0.25">
      <c r="E330" s="2"/>
      <c r="F330" s="2"/>
    </row>
    <row r="331" spans="5:6" x14ac:dyDescent="0.25">
      <c r="E331" s="2"/>
      <c r="F331" s="2"/>
    </row>
    <row r="332" spans="5:6" x14ac:dyDescent="0.25">
      <c r="E332" s="2"/>
      <c r="F332" s="2"/>
    </row>
    <row r="333" spans="5:6" x14ac:dyDescent="0.25">
      <c r="E333" s="2"/>
      <c r="F333" s="2"/>
    </row>
    <row r="334" spans="5:6" x14ac:dyDescent="0.25">
      <c r="E334" s="2"/>
      <c r="F334" s="2"/>
    </row>
    <row r="335" spans="5:6" x14ac:dyDescent="0.25">
      <c r="E335" s="2"/>
      <c r="F335" s="2"/>
    </row>
    <row r="336" spans="5:6" x14ac:dyDescent="0.25">
      <c r="E336" s="2"/>
      <c r="F336" s="2"/>
    </row>
    <row r="337" spans="5:6" x14ac:dyDescent="0.25">
      <c r="E337" s="2"/>
      <c r="F337" s="2"/>
    </row>
    <row r="338" spans="5:6" x14ac:dyDescent="0.25">
      <c r="E338" s="2"/>
      <c r="F338" s="2"/>
    </row>
    <row r="339" spans="5:6" x14ac:dyDescent="0.25">
      <c r="E339" s="2"/>
      <c r="F339" s="2"/>
    </row>
    <row r="340" spans="5:6" x14ac:dyDescent="0.25">
      <c r="E340" s="2"/>
      <c r="F340" s="2"/>
    </row>
    <row r="341" spans="5:6" x14ac:dyDescent="0.25">
      <c r="E341" s="2"/>
      <c r="F341" s="2"/>
    </row>
    <row r="342" spans="5:6" x14ac:dyDescent="0.25">
      <c r="E342" s="2"/>
      <c r="F342" s="2"/>
    </row>
    <row r="343" spans="5:6" x14ac:dyDescent="0.25">
      <c r="E343" s="2"/>
      <c r="F343" s="2"/>
    </row>
    <row r="344" spans="5:6" x14ac:dyDescent="0.25">
      <c r="E344" s="2"/>
      <c r="F344" s="2"/>
    </row>
    <row r="345" spans="5:6" x14ac:dyDescent="0.25">
      <c r="E345" s="2"/>
      <c r="F345" s="2"/>
    </row>
    <row r="346" spans="5:6" x14ac:dyDescent="0.25">
      <c r="E346" s="2"/>
      <c r="F346" s="2"/>
    </row>
    <row r="347" spans="5:6" x14ac:dyDescent="0.25">
      <c r="E347" s="2"/>
      <c r="F347" s="2"/>
    </row>
    <row r="348" spans="5:6" x14ac:dyDescent="0.25">
      <c r="E348" s="2"/>
      <c r="F348" s="2"/>
    </row>
    <row r="349" spans="5:6" x14ac:dyDescent="0.25">
      <c r="E349" s="2"/>
      <c r="F349" s="2"/>
    </row>
    <row r="350" spans="5:6" x14ac:dyDescent="0.25">
      <c r="E350" s="2"/>
      <c r="F350" s="2"/>
    </row>
    <row r="351" spans="5:6" x14ac:dyDescent="0.25">
      <c r="E351" s="2"/>
      <c r="F351" s="2"/>
    </row>
    <row r="352" spans="5:6" x14ac:dyDescent="0.25">
      <c r="E352" s="2"/>
      <c r="F352" s="2"/>
    </row>
    <row r="353" spans="5:6" x14ac:dyDescent="0.25">
      <c r="E353" s="2"/>
      <c r="F353" s="2"/>
    </row>
    <row r="354" spans="5:6" x14ac:dyDescent="0.25">
      <c r="E354" s="2"/>
      <c r="F354" s="2"/>
    </row>
    <row r="355" spans="5:6" x14ac:dyDescent="0.25">
      <c r="E355" s="2"/>
      <c r="F355" s="2"/>
    </row>
    <row r="356" spans="5:6" x14ac:dyDescent="0.25">
      <c r="E356" s="2"/>
      <c r="F356" s="2"/>
    </row>
    <row r="357" spans="5:6" x14ac:dyDescent="0.25">
      <c r="E357" s="2"/>
      <c r="F357" s="2"/>
    </row>
    <row r="358" spans="5:6" x14ac:dyDescent="0.25">
      <c r="E358" s="2"/>
      <c r="F358" s="2"/>
    </row>
    <row r="359" spans="5:6" x14ac:dyDescent="0.25">
      <c r="E359" s="2"/>
      <c r="F359" s="2"/>
    </row>
    <row r="360" spans="5:6" x14ac:dyDescent="0.25">
      <c r="E360" s="2"/>
      <c r="F360" s="2"/>
    </row>
    <row r="361" spans="5:6" x14ac:dyDescent="0.25">
      <c r="E361" s="2"/>
      <c r="F361" s="2"/>
    </row>
    <row r="362" spans="5:6" x14ac:dyDescent="0.25">
      <c r="E362" s="2"/>
      <c r="F362" s="2"/>
    </row>
    <row r="363" spans="5:6" x14ac:dyDescent="0.25">
      <c r="E363" s="2"/>
      <c r="F363" s="2"/>
    </row>
    <row r="364" spans="5:6" x14ac:dyDescent="0.25">
      <c r="E364" s="2"/>
      <c r="F364" s="2"/>
    </row>
    <row r="365" spans="5:6" x14ac:dyDescent="0.25">
      <c r="E365" s="2"/>
      <c r="F365" s="2"/>
    </row>
    <row r="366" spans="5:6" x14ac:dyDescent="0.25">
      <c r="E366" s="2"/>
      <c r="F366" s="2"/>
    </row>
    <row r="367" spans="5:6" x14ac:dyDescent="0.25">
      <c r="E367" s="2"/>
      <c r="F367" s="2"/>
    </row>
    <row r="368" spans="5:6" x14ac:dyDescent="0.25">
      <c r="E368" s="2"/>
      <c r="F368" s="2"/>
    </row>
    <row r="369" spans="5:6" x14ac:dyDescent="0.25">
      <c r="E369" s="2"/>
      <c r="F369" s="2"/>
    </row>
    <row r="370" spans="5:6" x14ac:dyDescent="0.25">
      <c r="E370" s="2"/>
      <c r="F370" s="2"/>
    </row>
    <row r="371" spans="5:6" x14ac:dyDescent="0.25">
      <c r="E371" s="2"/>
      <c r="F371" s="2"/>
    </row>
    <row r="372" spans="5:6" x14ac:dyDescent="0.25">
      <c r="E372" s="2"/>
      <c r="F372" s="2"/>
    </row>
    <row r="373" spans="5:6" x14ac:dyDescent="0.25">
      <c r="E373" s="2"/>
      <c r="F373" s="2"/>
    </row>
    <row r="374" spans="5:6" x14ac:dyDescent="0.25">
      <c r="E374" s="2"/>
      <c r="F374" s="2"/>
    </row>
    <row r="375" spans="5:6" x14ac:dyDescent="0.25">
      <c r="E375" s="2"/>
      <c r="F375" s="2"/>
    </row>
    <row r="376" spans="5:6" x14ac:dyDescent="0.25">
      <c r="E376" s="2"/>
      <c r="F376" s="2"/>
    </row>
    <row r="377" spans="5:6" x14ac:dyDescent="0.25">
      <c r="E377" s="2"/>
      <c r="F377" s="2"/>
    </row>
    <row r="378" spans="5:6" x14ac:dyDescent="0.25">
      <c r="E378" s="2"/>
      <c r="F378" s="2"/>
    </row>
    <row r="379" spans="5:6" x14ac:dyDescent="0.25">
      <c r="E379" s="2"/>
      <c r="F379" s="2"/>
    </row>
    <row r="380" spans="5:6" x14ac:dyDescent="0.25">
      <c r="E380" s="2"/>
      <c r="F380" s="2"/>
    </row>
    <row r="381" spans="5:6" x14ac:dyDescent="0.25">
      <c r="E381" s="2"/>
      <c r="F381" s="2"/>
    </row>
    <row r="382" spans="5:6" x14ac:dyDescent="0.25">
      <c r="E382" s="2"/>
      <c r="F382" s="2"/>
    </row>
    <row r="383" spans="5:6" x14ac:dyDescent="0.25">
      <c r="E383" s="2"/>
      <c r="F383" s="2"/>
    </row>
    <row r="384" spans="5:6" x14ac:dyDescent="0.25">
      <c r="E384" s="2"/>
      <c r="F384" s="2"/>
    </row>
    <row r="385" spans="5:6" x14ac:dyDescent="0.25">
      <c r="E385" s="2"/>
      <c r="F385" s="2"/>
    </row>
    <row r="386" spans="5:6" x14ac:dyDescent="0.25">
      <c r="E386" s="2"/>
      <c r="F386" s="2"/>
    </row>
  </sheetData>
  <autoFilter ref="B10:H18" xr:uid="{00000000-0009-0000-0000-000001000000}"/>
  <mergeCells count="18">
    <mergeCell ref="C23:G23"/>
    <mergeCell ref="B24:H24"/>
    <mergeCell ref="C25:G25"/>
    <mergeCell ref="A8:B8"/>
    <mergeCell ref="C8:H8"/>
    <mergeCell ref="A9:B9"/>
    <mergeCell ref="C9:H9"/>
    <mergeCell ref="B22:H22"/>
    <mergeCell ref="A5:B5"/>
    <mergeCell ref="C5:H5"/>
    <mergeCell ref="A6:B6"/>
    <mergeCell ref="C6:H6"/>
    <mergeCell ref="A7:B7"/>
    <mergeCell ref="A1:H1"/>
    <mergeCell ref="A2:B3"/>
    <mergeCell ref="C2:H3"/>
    <mergeCell ref="A4:B4"/>
    <mergeCell ref="C4:H4"/>
  </mergeCells>
  <pageMargins left="0.39370078740157477" right="0.39370078740157477" top="0.78740157480314954" bottom="0.39370078740157477" header="0" footer="0"/>
  <pageSetup paperSize="9" scale="63" fitToHeight="0" orientation="landscape"/>
  <headerFooter>
    <oddFooter>&amp;C&amp;P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17"/>
  <sheetViews>
    <sheetView view="pageBreakPreview" zoomScale="85" workbookViewId="0">
      <selection activeCell="C5" sqref="C5:H5"/>
    </sheetView>
  </sheetViews>
  <sheetFormatPr defaultColWidth="9.140625" defaultRowHeight="15.75" x14ac:dyDescent="0.25"/>
  <cols>
    <col min="1" max="1" width="5.42578125" style="2" customWidth="1"/>
    <col min="2" max="2" width="32.85546875" style="2" customWidth="1"/>
    <col min="3" max="3" width="84.28515625" style="3" customWidth="1"/>
    <col min="4" max="4" width="19.28515625" style="2" customWidth="1"/>
    <col min="5" max="6" width="15.140625" style="61" customWidth="1"/>
    <col min="7" max="7" width="20.7109375" style="53" customWidth="1"/>
    <col min="8" max="8" width="28.7109375" style="2" customWidth="1"/>
    <col min="9" max="11" width="9.140625" style="2"/>
    <col min="12" max="12" width="11.85546875" style="2" bestFit="1" customWidth="1"/>
    <col min="13" max="17" width="9.140625" style="2"/>
    <col min="18" max="16384" width="9.140625" style="60"/>
  </cols>
  <sheetData>
    <row r="1" spans="1:13" s="2" customFormat="1" x14ac:dyDescent="0.25">
      <c r="A1" s="95" t="s">
        <v>54</v>
      </c>
      <c r="B1" s="95"/>
      <c r="C1" s="95"/>
      <c r="D1" s="95"/>
      <c r="E1" s="95"/>
      <c r="F1" s="95"/>
      <c r="G1" s="95"/>
      <c r="H1" s="95"/>
    </row>
    <row r="2" spans="1:13" s="2" customFormat="1" ht="15.75" customHeight="1" x14ac:dyDescent="0.25">
      <c r="A2" s="96" t="s">
        <v>0</v>
      </c>
      <c r="B2" s="96"/>
      <c r="C2" s="97" t="s">
        <v>1</v>
      </c>
      <c r="D2" s="97"/>
      <c r="E2" s="97"/>
      <c r="F2" s="97"/>
      <c r="G2" s="97"/>
      <c r="H2" s="97"/>
    </row>
    <row r="3" spans="1:13" s="2" customFormat="1" x14ac:dyDescent="0.25">
      <c r="A3" s="96"/>
      <c r="B3" s="96"/>
      <c r="C3" s="97"/>
      <c r="D3" s="97"/>
      <c r="E3" s="97"/>
      <c r="F3" s="97"/>
      <c r="G3" s="97"/>
      <c r="H3" s="97"/>
    </row>
    <row r="4" spans="1:13" s="2" customFormat="1" x14ac:dyDescent="0.25">
      <c r="A4" s="98" t="s">
        <v>2</v>
      </c>
      <c r="B4" s="98"/>
      <c r="C4" s="99" t="s">
        <v>3</v>
      </c>
      <c r="D4" s="99"/>
      <c r="E4" s="99"/>
      <c r="F4" s="99"/>
      <c r="G4" s="99"/>
      <c r="H4" s="99"/>
    </row>
    <row r="5" spans="1:13" s="2" customFormat="1" ht="33.75" customHeight="1" x14ac:dyDescent="0.25">
      <c r="A5" s="98" t="s">
        <v>4</v>
      </c>
      <c r="B5" s="98"/>
      <c r="C5" s="99" t="s">
        <v>31</v>
      </c>
      <c r="D5" s="99"/>
      <c r="E5" s="99"/>
      <c r="F5" s="99"/>
      <c r="G5" s="99"/>
      <c r="H5" s="99"/>
    </row>
    <row r="6" spans="1:13" s="2" customFormat="1" ht="33.75" customHeight="1" x14ac:dyDescent="0.25">
      <c r="A6" s="96" t="s">
        <v>5</v>
      </c>
      <c r="B6" s="96"/>
      <c r="C6" s="99" t="s">
        <v>6</v>
      </c>
      <c r="D6" s="99"/>
      <c r="E6" s="99"/>
      <c r="F6" s="99"/>
      <c r="G6" s="99"/>
      <c r="H6" s="99"/>
    </row>
    <row r="7" spans="1:13" s="2" customFormat="1" x14ac:dyDescent="0.25">
      <c r="A7" s="96" t="s">
        <v>7</v>
      </c>
      <c r="B7" s="96"/>
      <c r="C7" s="70" t="s">
        <v>32</v>
      </c>
      <c r="D7" s="6"/>
      <c r="E7" s="6"/>
      <c r="F7" s="6"/>
      <c r="G7" s="7"/>
      <c r="H7" s="6"/>
    </row>
    <row r="8" spans="1:13" s="2" customFormat="1" x14ac:dyDescent="0.25">
      <c r="A8" s="98" t="s">
        <v>8</v>
      </c>
      <c r="B8" s="98"/>
      <c r="C8" s="99" t="s">
        <v>55</v>
      </c>
      <c r="D8" s="99"/>
      <c r="E8" s="99"/>
      <c r="F8" s="99"/>
      <c r="G8" s="99"/>
      <c r="H8" s="99"/>
    </row>
    <row r="9" spans="1:13" s="2" customFormat="1" x14ac:dyDescent="0.25">
      <c r="A9" s="98" t="s">
        <v>9</v>
      </c>
      <c r="B9" s="98"/>
      <c r="C9" s="99" t="s">
        <v>56</v>
      </c>
      <c r="D9" s="99"/>
      <c r="E9" s="99"/>
      <c r="F9" s="99"/>
      <c r="G9" s="99"/>
      <c r="H9" s="99"/>
    </row>
    <row r="10" spans="1:13" s="2" customFormat="1" ht="63" x14ac:dyDescent="0.25">
      <c r="A10" s="9" t="s">
        <v>10</v>
      </c>
      <c r="B10" s="9" t="s">
        <v>11</v>
      </c>
      <c r="C10" s="9" t="s">
        <v>12</v>
      </c>
      <c r="D10" s="9" t="s">
        <v>13</v>
      </c>
      <c r="E10" s="10" t="s">
        <v>14</v>
      </c>
      <c r="F10" s="10" t="s">
        <v>15</v>
      </c>
      <c r="G10" s="9" t="s">
        <v>16</v>
      </c>
      <c r="H10" s="9" t="s">
        <v>17</v>
      </c>
    </row>
    <row r="11" spans="1:13" s="2" customFormat="1" x14ac:dyDescent="0.25">
      <c r="A11" s="9">
        <v>1</v>
      </c>
      <c r="B11" s="9">
        <v>2</v>
      </c>
      <c r="C11" s="9">
        <v>3</v>
      </c>
      <c r="D11" s="9">
        <v>4</v>
      </c>
      <c r="E11" s="10">
        <v>5</v>
      </c>
      <c r="F11" s="10">
        <v>6</v>
      </c>
      <c r="G11" s="9">
        <v>7</v>
      </c>
      <c r="H11" s="9">
        <v>8</v>
      </c>
    </row>
    <row r="12" spans="1:13" s="2" customFormat="1" ht="57" x14ac:dyDescent="0.25">
      <c r="A12" s="71">
        <v>1</v>
      </c>
      <c r="B12" s="15" t="s">
        <v>57</v>
      </c>
      <c r="C12" s="16" t="s">
        <v>58</v>
      </c>
      <c r="D12" s="17">
        <v>44945</v>
      </c>
      <c r="E12" s="72">
        <v>1</v>
      </c>
      <c r="F12" s="72">
        <v>1</v>
      </c>
      <c r="G12" s="15" t="s">
        <v>59</v>
      </c>
      <c r="H12" s="71"/>
      <c r="L12" s="52"/>
      <c r="M12" s="52"/>
    </row>
    <row r="13" spans="1:13" s="2" customFormat="1" ht="30" x14ac:dyDescent="0.25">
      <c r="A13" s="73">
        <v>2</v>
      </c>
      <c r="B13" s="21" t="s">
        <v>20</v>
      </c>
      <c r="C13" s="22" t="s">
        <v>60</v>
      </c>
      <c r="D13" s="62">
        <f>D12</f>
        <v>44945</v>
      </c>
      <c r="E13" s="74">
        <v>1</v>
      </c>
      <c r="F13" s="74">
        <v>1</v>
      </c>
      <c r="G13" s="21"/>
      <c r="H13" s="73"/>
      <c r="L13" s="52"/>
      <c r="M13" s="52"/>
    </row>
    <row r="14" spans="1:13" s="2" customFormat="1" ht="30" x14ac:dyDescent="0.25">
      <c r="A14" s="73">
        <v>3</v>
      </c>
      <c r="B14" s="21" t="s">
        <v>24</v>
      </c>
      <c r="C14" s="22" t="s">
        <v>61</v>
      </c>
      <c r="D14" s="62">
        <f>D12</f>
        <v>44945</v>
      </c>
      <c r="E14" s="74">
        <v>1</v>
      </c>
      <c r="F14" s="74">
        <v>1</v>
      </c>
      <c r="G14" s="21"/>
      <c r="H14" s="73"/>
    </row>
    <row r="15" spans="1:13" s="2" customFormat="1" ht="30" x14ac:dyDescent="0.25">
      <c r="A15" s="73">
        <v>4</v>
      </c>
      <c r="B15" s="75" t="s">
        <v>25</v>
      </c>
      <c r="C15" s="22" t="s">
        <v>62</v>
      </c>
      <c r="D15" s="62">
        <f>D12</f>
        <v>44945</v>
      </c>
      <c r="E15" s="76">
        <v>1</v>
      </c>
      <c r="F15" s="74">
        <v>1</v>
      </c>
      <c r="G15" s="21"/>
      <c r="H15" s="73"/>
    </row>
    <row r="16" spans="1:13" s="2" customFormat="1" x14ac:dyDescent="0.25">
      <c r="A16" s="73">
        <v>5</v>
      </c>
      <c r="B16" s="21" t="s">
        <v>20</v>
      </c>
      <c r="C16" s="22" t="s">
        <v>63</v>
      </c>
      <c r="D16" s="21" t="s">
        <v>22</v>
      </c>
      <c r="E16" s="74">
        <v>1</v>
      </c>
      <c r="F16" s="74">
        <v>1</v>
      </c>
      <c r="G16" s="21"/>
      <c r="H16" s="73"/>
    </row>
    <row r="17" spans="1:13" s="2" customFormat="1" ht="30" x14ac:dyDescent="0.25">
      <c r="A17" s="73">
        <v>6</v>
      </c>
      <c r="B17" s="75" t="s">
        <v>64</v>
      </c>
      <c r="C17" s="22" t="s">
        <v>65</v>
      </c>
      <c r="D17" s="21" t="s">
        <v>66</v>
      </c>
      <c r="E17" s="76">
        <v>1</v>
      </c>
      <c r="F17" s="74">
        <v>1</v>
      </c>
      <c r="G17" s="21"/>
      <c r="H17" s="73"/>
    </row>
    <row r="18" spans="1:13" s="2" customFormat="1" ht="30" x14ac:dyDescent="0.25">
      <c r="A18" s="73">
        <v>7</v>
      </c>
      <c r="B18" s="75" t="s">
        <v>67</v>
      </c>
      <c r="C18" s="77" t="s">
        <v>68</v>
      </c>
      <c r="D18" s="75" t="s">
        <v>69</v>
      </c>
      <c r="E18" s="76">
        <v>1</v>
      </c>
      <c r="F18" s="74">
        <v>1</v>
      </c>
      <c r="G18" s="21"/>
      <c r="H18" s="73"/>
    </row>
    <row r="19" spans="1:13" s="2" customFormat="1" x14ac:dyDescent="0.25">
      <c r="A19" s="73">
        <v>8</v>
      </c>
      <c r="B19" s="78" t="s">
        <v>21</v>
      </c>
      <c r="C19" s="77" t="s">
        <v>70</v>
      </c>
      <c r="D19" s="78">
        <v>44774</v>
      </c>
      <c r="E19" s="76">
        <v>1</v>
      </c>
      <c r="F19" s="74">
        <v>50</v>
      </c>
      <c r="G19" s="21"/>
      <c r="H19" s="73"/>
    </row>
    <row r="20" spans="1:13" s="2" customFormat="1" ht="20.100000000000001" customHeight="1" x14ac:dyDescent="0.25">
      <c r="A20" s="73">
        <v>9</v>
      </c>
      <c r="B20" s="78" t="s">
        <v>21</v>
      </c>
      <c r="C20" s="79" t="s">
        <v>71</v>
      </c>
      <c r="D20" s="78">
        <v>44774</v>
      </c>
      <c r="E20" s="76">
        <v>1</v>
      </c>
      <c r="F20" s="74">
        <v>1</v>
      </c>
      <c r="G20" s="21"/>
      <c r="H20" s="73"/>
    </row>
    <row r="21" spans="1:13" s="2" customFormat="1" ht="57" x14ac:dyDescent="0.25">
      <c r="A21" s="71">
        <v>10</v>
      </c>
      <c r="B21" s="15" t="s">
        <v>72</v>
      </c>
      <c r="C21" s="16" t="s">
        <v>73</v>
      </c>
      <c r="D21" s="17">
        <v>44946</v>
      </c>
      <c r="E21" s="72">
        <v>1</v>
      </c>
      <c r="F21" s="72">
        <v>1</v>
      </c>
      <c r="G21" s="15" t="s">
        <v>59</v>
      </c>
      <c r="H21" s="71"/>
      <c r="L21" s="52"/>
      <c r="M21" s="52"/>
    </row>
    <row r="22" spans="1:13" s="2" customFormat="1" ht="30" x14ac:dyDescent="0.25">
      <c r="A22" s="73">
        <v>11</v>
      </c>
      <c r="B22" s="75" t="s">
        <v>20</v>
      </c>
      <c r="C22" s="22" t="s">
        <v>74</v>
      </c>
      <c r="D22" s="62">
        <f>D21</f>
        <v>44946</v>
      </c>
      <c r="E22" s="76">
        <v>1</v>
      </c>
      <c r="F22" s="74">
        <v>1</v>
      </c>
      <c r="G22" s="21"/>
      <c r="H22" s="73"/>
    </row>
    <row r="23" spans="1:13" s="2" customFormat="1" ht="30" x14ac:dyDescent="0.25">
      <c r="A23" s="73">
        <v>12</v>
      </c>
      <c r="B23" s="75" t="s">
        <v>24</v>
      </c>
      <c r="C23" s="77" t="s">
        <v>75</v>
      </c>
      <c r="D23" s="80">
        <f>D21</f>
        <v>44946</v>
      </c>
      <c r="E23" s="76">
        <v>1</v>
      </c>
      <c r="F23" s="74">
        <v>1</v>
      </c>
      <c r="G23" s="21"/>
      <c r="H23" s="73"/>
    </row>
    <row r="24" spans="1:13" s="2" customFormat="1" x14ac:dyDescent="0.25">
      <c r="A24" s="73">
        <v>13</v>
      </c>
      <c r="B24" s="21" t="s">
        <v>20</v>
      </c>
      <c r="C24" s="22" t="s">
        <v>63</v>
      </c>
      <c r="D24" s="21" t="s">
        <v>22</v>
      </c>
      <c r="E24" s="74">
        <v>1</v>
      </c>
      <c r="F24" s="74">
        <v>1</v>
      </c>
      <c r="G24" s="21"/>
      <c r="H24" s="73"/>
    </row>
    <row r="25" spans="1:13" s="2" customFormat="1" ht="30" x14ac:dyDescent="0.25">
      <c r="A25" s="73">
        <v>14</v>
      </c>
      <c r="B25" s="75" t="s">
        <v>64</v>
      </c>
      <c r="C25" s="22" t="s">
        <v>65</v>
      </c>
      <c r="D25" s="21" t="s">
        <v>66</v>
      </c>
      <c r="E25" s="76">
        <v>1</v>
      </c>
      <c r="F25" s="74">
        <v>1</v>
      </c>
      <c r="G25" s="21"/>
      <c r="H25" s="73"/>
    </row>
    <row r="26" spans="1:13" s="2" customFormat="1" ht="30" x14ac:dyDescent="0.25">
      <c r="A26" s="73">
        <v>15</v>
      </c>
      <c r="B26" s="75" t="s">
        <v>67</v>
      </c>
      <c r="C26" s="77" t="s">
        <v>68</v>
      </c>
      <c r="D26" s="75" t="s">
        <v>69</v>
      </c>
      <c r="E26" s="76">
        <v>1</v>
      </c>
      <c r="F26" s="74">
        <v>1</v>
      </c>
      <c r="G26" s="21"/>
      <c r="H26" s="73"/>
    </row>
    <row r="27" spans="1:13" s="2" customFormat="1" x14ac:dyDescent="0.25">
      <c r="A27" s="73">
        <v>16</v>
      </c>
      <c r="B27" s="78" t="s">
        <v>21</v>
      </c>
      <c r="C27" s="77" t="s">
        <v>70</v>
      </c>
      <c r="D27" s="78">
        <v>44774</v>
      </c>
      <c r="E27" s="76">
        <v>1</v>
      </c>
      <c r="F27" s="74">
        <v>22</v>
      </c>
      <c r="G27" s="21"/>
      <c r="H27" s="73"/>
    </row>
    <row r="28" spans="1:13" s="2" customFormat="1" ht="20.100000000000001" customHeight="1" x14ac:dyDescent="0.25">
      <c r="A28" s="73">
        <v>17</v>
      </c>
      <c r="B28" s="78" t="s">
        <v>21</v>
      </c>
      <c r="C28" s="79" t="s">
        <v>71</v>
      </c>
      <c r="D28" s="78">
        <v>44774</v>
      </c>
      <c r="E28" s="76">
        <v>1</v>
      </c>
      <c r="F28" s="74">
        <v>1</v>
      </c>
      <c r="G28" s="21"/>
      <c r="H28" s="73"/>
    </row>
    <row r="29" spans="1:13" s="2" customFormat="1" ht="57" x14ac:dyDescent="0.25">
      <c r="A29" s="71">
        <v>18</v>
      </c>
      <c r="B29" s="15" t="s">
        <v>76</v>
      </c>
      <c r="C29" s="16" t="s">
        <v>77</v>
      </c>
      <c r="D29" s="17">
        <v>44946</v>
      </c>
      <c r="E29" s="72">
        <v>1</v>
      </c>
      <c r="F29" s="72">
        <v>1</v>
      </c>
      <c r="G29" s="15" t="s">
        <v>59</v>
      </c>
      <c r="H29" s="71"/>
      <c r="L29" s="52"/>
      <c r="M29" s="52"/>
    </row>
    <row r="30" spans="1:13" s="2" customFormat="1" ht="30" x14ac:dyDescent="0.25">
      <c r="A30" s="73">
        <v>19</v>
      </c>
      <c r="B30" s="78" t="s">
        <v>20</v>
      </c>
      <c r="C30" s="79" t="s">
        <v>78</v>
      </c>
      <c r="D30" s="62">
        <f t="shared" ref="D30:D39" si="0">$D$29</f>
        <v>44946</v>
      </c>
      <c r="E30" s="76"/>
      <c r="F30" s="74"/>
      <c r="G30" s="21"/>
      <c r="H30" s="73"/>
    </row>
    <row r="31" spans="1:13" s="2" customFormat="1" ht="30" x14ac:dyDescent="0.25">
      <c r="A31" s="73">
        <v>20</v>
      </c>
      <c r="B31" s="78" t="s">
        <v>24</v>
      </c>
      <c r="C31" s="79" t="s">
        <v>79</v>
      </c>
      <c r="D31" s="62">
        <f t="shared" si="0"/>
        <v>44946</v>
      </c>
      <c r="E31" s="76"/>
      <c r="F31" s="74"/>
      <c r="G31" s="21"/>
      <c r="H31" s="73"/>
    </row>
    <row r="32" spans="1:13" s="2" customFormat="1" ht="30" x14ac:dyDescent="0.25">
      <c r="A32" s="73">
        <v>21</v>
      </c>
      <c r="B32" s="78" t="s">
        <v>25</v>
      </c>
      <c r="C32" s="79" t="s">
        <v>80</v>
      </c>
      <c r="D32" s="62">
        <f t="shared" si="0"/>
        <v>44946</v>
      </c>
      <c r="E32" s="76"/>
      <c r="F32" s="74"/>
      <c r="G32" s="21"/>
      <c r="H32" s="73"/>
    </row>
    <row r="33" spans="1:13" s="2" customFormat="1" x14ac:dyDescent="0.25">
      <c r="A33" s="73">
        <v>22</v>
      </c>
      <c r="B33" s="21" t="s">
        <v>20</v>
      </c>
      <c r="C33" s="22" t="s">
        <v>63</v>
      </c>
      <c r="D33" s="21" t="s">
        <v>22</v>
      </c>
      <c r="E33" s="74">
        <v>1</v>
      </c>
      <c r="F33" s="74">
        <v>1</v>
      </c>
      <c r="G33" s="21"/>
      <c r="H33" s="73"/>
    </row>
    <row r="34" spans="1:13" s="2" customFormat="1" ht="30" x14ac:dyDescent="0.25">
      <c r="A34" s="73">
        <v>23</v>
      </c>
      <c r="B34" s="75" t="s">
        <v>64</v>
      </c>
      <c r="C34" s="22" t="s">
        <v>65</v>
      </c>
      <c r="D34" s="21" t="s">
        <v>66</v>
      </c>
      <c r="E34" s="76">
        <v>1</v>
      </c>
      <c r="F34" s="74">
        <v>1</v>
      </c>
      <c r="G34" s="21"/>
      <c r="H34" s="73"/>
    </row>
    <row r="35" spans="1:13" s="2" customFormat="1" ht="30" x14ac:dyDescent="0.25">
      <c r="A35" s="73">
        <v>24</v>
      </c>
      <c r="B35" s="75" t="s">
        <v>67</v>
      </c>
      <c r="C35" s="77" t="s">
        <v>68</v>
      </c>
      <c r="D35" s="75" t="s">
        <v>69</v>
      </c>
      <c r="E35" s="76">
        <v>1</v>
      </c>
      <c r="F35" s="74">
        <v>1</v>
      </c>
      <c r="G35" s="21"/>
      <c r="H35" s="73"/>
    </row>
    <row r="36" spans="1:13" s="2" customFormat="1" x14ac:dyDescent="0.25">
      <c r="A36" s="73">
        <v>25</v>
      </c>
      <c r="B36" s="78" t="s">
        <v>21</v>
      </c>
      <c r="C36" s="77" t="s">
        <v>70</v>
      </c>
      <c r="D36" s="78">
        <v>44774</v>
      </c>
      <c r="E36" s="76">
        <v>1</v>
      </c>
      <c r="F36" s="74">
        <v>26</v>
      </c>
      <c r="G36" s="21"/>
      <c r="H36" s="73"/>
    </row>
    <row r="37" spans="1:13" s="2" customFormat="1" ht="20.100000000000001" customHeight="1" x14ac:dyDescent="0.25">
      <c r="A37" s="73">
        <v>26</v>
      </c>
      <c r="B37" s="78" t="s">
        <v>21</v>
      </c>
      <c r="C37" s="79" t="s">
        <v>71</v>
      </c>
      <c r="D37" s="78">
        <v>44774</v>
      </c>
      <c r="E37" s="76">
        <v>1</v>
      </c>
      <c r="F37" s="74">
        <v>8</v>
      </c>
      <c r="G37" s="21"/>
      <c r="H37" s="73"/>
    </row>
    <row r="38" spans="1:13" s="2" customFormat="1" ht="42.75" x14ac:dyDescent="0.25">
      <c r="A38" s="71">
        <v>27</v>
      </c>
      <c r="B38" s="15" t="s">
        <v>81</v>
      </c>
      <c r="C38" s="16" t="s">
        <v>82</v>
      </c>
      <c r="D38" s="17">
        <v>44946</v>
      </c>
      <c r="E38" s="72">
        <v>1</v>
      </c>
      <c r="F38" s="72">
        <v>1</v>
      </c>
      <c r="G38" s="15" t="s">
        <v>59</v>
      </c>
      <c r="H38" s="71"/>
      <c r="L38" s="52"/>
      <c r="M38" s="52"/>
    </row>
    <row r="39" spans="1:13" s="2" customFormat="1" ht="30" x14ac:dyDescent="0.25">
      <c r="A39" s="73">
        <v>28</v>
      </c>
      <c r="B39" s="78" t="s">
        <v>20</v>
      </c>
      <c r="C39" s="79" t="s">
        <v>83</v>
      </c>
      <c r="D39" s="62">
        <f t="shared" si="0"/>
        <v>44946</v>
      </c>
      <c r="E39" s="76"/>
      <c r="F39" s="74"/>
      <c r="G39" s="21"/>
      <c r="H39" s="73"/>
    </row>
    <row r="40" spans="1:13" s="2" customFormat="1" x14ac:dyDescent="0.25">
      <c r="A40" s="73">
        <v>29</v>
      </c>
      <c r="B40" s="21" t="s">
        <v>20</v>
      </c>
      <c r="C40" s="22" t="s">
        <v>63</v>
      </c>
      <c r="D40" s="21" t="s">
        <v>22</v>
      </c>
      <c r="E40" s="74">
        <v>1</v>
      </c>
      <c r="F40" s="74">
        <v>1</v>
      </c>
      <c r="G40" s="21"/>
      <c r="H40" s="73"/>
    </row>
    <row r="41" spans="1:13" s="2" customFormat="1" ht="30" x14ac:dyDescent="0.25">
      <c r="A41" s="73">
        <v>30</v>
      </c>
      <c r="B41" s="75" t="s">
        <v>64</v>
      </c>
      <c r="C41" s="22" t="s">
        <v>65</v>
      </c>
      <c r="D41" s="21" t="s">
        <v>66</v>
      </c>
      <c r="E41" s="76">
        <v>1</v>
      </c>
      <c r="F41" s="74">
        <v>1</v>
      </c>
      <c r="G41" s="21"/>
      <c r="H41" s="73"/>
    </row>
    <row r="42" spans="1:13" s="2" customFormat="1" ht="30" x14ac:dyDescent="0.25">
      <c r="A42" s="73">
        <v>31</v>
      </c>
      <c r="B42" s="75" t="s">
        <v>67</v>
      </c>
      <c r="C42" s="77" t="s">
        <v>68</v>
      </c>
      <c r="D42" s="75" t="s">
        <v>69</v>
      </c>
      <c r="E42" s="76">
        <v>1</v>
      </c>
      <c r="F42" s="74">
        <v>1</v>
      </c>
      <c r="G42" s="21"/>
      <c r="H42" s="73"/>
    </row>
    <row r="43" spans="1:13" s="2" customFormat="1" ht="20.100000000000001" customHeight="1" x14ac:dyDescent="0.25">
      <c r="A43" s="73">
        <v>32</v>
      </c>
      <c r="B43" s="78" t="s">
        <v>21</v>
      </c>
      <c r="C43" s="79" t="s">
        <v>71</v>
      </c>
      <c r="D43" s="78">
        <v>44774</v>
      </c>
      <c r="E43" s="76">
        <v>1</v>
      </c>
      <c r="F43" s="74">
        <v>1</v>
      </c>
      <c r="G43" s="21"/>
      <c r="H43" s="73"/>
    </row>
    <row r="44" spans="1:13" s="2" customFormat="1" ht="57" x14ac:dyDescent="0.25">
      <c r="A44" s="71">
        <v>33</v>
      </c>
      <c r="B44" s="15" t="s">
        <v>84</v>
      </c>
      <c r="C44" s="16" t="s">
        <v>85</v>
      </c>
      <c r="D44" s="17">
        <v>44947</v>
      </c>
      <c r="E44" s="72">
        <v>1</v>
      </c>
      <c r="F44" s="72">
        <v>1</v>
      </c>
      <c r="G44" s="15" t="s">
        <v>59</v>
      </c>
      <c r="H44" s="71"/>
      <c r="L44" s="52"/>
      <c r="M44" s="52"/>
    </row>
    <row r="45" spans="1:13" s="2" customFormat="1" ht="30" x14ac:dyDescent="0.25">
      <c r="A45" s="73">
        <v>34</v>
      </c>
      <c r="B45" s="78" t="s">
        <v>20</v>
      </c>
      <c r="C45" s="79" t="s">
        <v>86</v>
      </c>
      <c r="D45" s="62">
        <f>D44</f>
        <v>44947</v>
      </c>
      <c r="E45" s="76">
        <v>1</v>
      </c>
      <c r="F45" s="74">
        <v>1</v>
      </c>
      <c r="G45" s="21"/>
      <c r="H45" s="73"/>
    </row>
    <row r="46" spans="1:13" s="2" customFormat="1" ht="30" x14ac:dyDescent="0.25">
      <c r="A46" s="73">
        <v>35</v>
      </c>
      <c r="B46" s="78" t="s">
        <v>24</v>
      </c>
      <c r="C46" s="79" t="s">
        <v>87</v>
      </c>
      <c r="D46" s="62">
        <f>D44</f>
        <v>44947</v>
      </c>
      <c r="E46" s="76">
        <v>1</v>
      </c>
      <c r="F46" s="74">
        <v>1</v>
      </c>
      <c r="G46" s="21"/>
      <c r="H46" s="73"/>
    </row>
    <row r="47" spans="1:13" s="2" customFormat="1" ht="30" x14ac:dyDescent="0.25">
      <c r="A47" s="73">
        <v>36</v>
      </c>
      <c r="B47" s="78" t="s">
        <v>25</v>
      </c>
      <c r="C47" s="79" t="s">
        <v>88</v>
      </c>
      <c r="D47" s="62">
        <f>D44</f>
        <v>44947</v>
      </c>
      <c r="E47" s="76">
        <v>1</v>
      </c>
      <c r="F47" s="74">
        <v>1</v>
      </c>
      <c r="G47" s="21"/>
      <c r="H47" s="73"/>
    </row>
    <row r="48" spans="1:13" s="2" customFormat="1" x14ac:dyDescent="0.25">
      <c r="A48" s="73">
        <v>37</v>
      </c>
      <c r="B48" s="21" t="s">
        <v>20</v>
      </c>
      <c r="C48" s="22" t="s">
        <v>63</v>
      </c>
      <c r="D48" s="21" t="s">
        <v>22</v>
      </c>
      <c r="E48" s="74">
        <v>1</v>
      </c>
      <c r="F48" s="74">
        <v>1</v>
      </c>
      <c r="G48" s="21"/>
      <c r="H48" s="73"/>
    </row>
    <row r="49" spans="1:13" s="2" customFormat="1" ht="30" x14ac:dyDescent="0.25">
      <c r="A49" s="73">
        <v>38</v>
      </c>
      <c r="B49" s="75" t="s">
        <v>64</v>
      </c>
      <c r="C49" s="22" t="s">
        <v>65</v>
      </c>
      <c r="D49" s="21" t="s">
        <v>66</v>
      </c>
      <c r="E49" s="76">
        <v>1</v>
      </c>
      <c r="F49" s="74">
        <v>1</v>
      </c>
      <c r="G49" s="21"/>
      <c r="H49" s="73"/>
    </row>
    <row r="50" spans="1:13" s="2" customFormat="1" ht="30" x14ac:dyDescent="0.25">
      <c r="A50" s="73">
        <v>39</v>
      </c>
      <c r="B50" s="75" t="s">
        <v>67</v>
      </c>
      <c r="C50" s="77" t="s">
        <v>68</v>
      </c>
      <c r="D50" s="75" t="s">
        <v>69</v>
      </c>
      <c r="E50" s="76">
        <v>1</v>
      </c>
      <c r="F50" s="74">
        <v>1</v>
      </c>
      <c r="G50" s="21"/>
      <c r="H50" s="73"/>
    </row>
    <row r="51" spans="1:13" s="2" customFormat="1" x14ac:dyDescent="0.25">
      <c r="A51" s="73">
        <v>40</v>
      </c>
      <c r="B51" s="78" t="s">
        <v>21</v>
      </c>
      <c r="C51" s="77" t="s">
        <v>70</v>
      </c>
      <c r="D51" s="78">
        <v>44774</v>
      </c>
      <c r="E51" s="76">
        <v>1</v>
      </c>
      <c r="F51" s="74">
        <v>28</v>
      </c>
      <c r="G51" s="21"/>
      <c r="H51" s="73"/>
    </row>
    <row r="52" spans="1:13" s="2" customFormat="1" ht="20.100000000000001" customHeight="1" x14ac:dyDescent="0.25">
      <c r="A52" s="73">
        <v>41</v>
      </c>
      <c r="B52" s="78" t="s">
        <v>21</v>
      </c>
      <c r="C52" s="79" t="s">
        <v>71</v>
      </c>
      <c r="D52" s="78">
        <v>44774</v>
      </c>
      <c r="E52" s="76">
        <v>1</v>
      </c>
      <c r="F52" s="74">
        <v>1</v>
      </c>
      <c r="G52" s="21"/>
      <c r="H52" s="73"/>
    </row>
    <row r="53" spans="1:13" s="2" customFormat="1" ht="42.75" x14ac:dyDescent="0.25">
      <c r="A53" s="71">
        <v>42</v>
      </c>
      <c r="B53" s="15" t="s">
        <v>89</v>
      </c>
      <c r="C53" s="16" t="s">
        <v>90</v>
      </c>
      <c r="D53" s="17">
        <v>44947</v>
      </c>
      <c r="E53" s="72">
        <v>1</v>
      </c>
      <c r="F53" s="72">
        <v>1</v>
      </c>
      <c r="G53" s="15" t="s">
        <v>59</v>
      </c>
      <c r="H53" s="71"/>
      <c r="L53" s="52"/>
      <c r="M53" s="52"/>
    </row>
    <row r="54" spans="1:13" s="2" customFormat="1" ht="30" x14ac:dyDescent="0.25">
      <c r="A54" s="73">
        <v>43</v>
      </c>
      <c r="B54" s="78" t="s">
        <v>20</v>
      </c>
      <c r="C54" s="79" t="s">
        <v>91</v>
      </c>
      <c r="D54" s="62">
        <f t="shared" ref="D54:D56" si="1">$D$53</f>
        <v>44947</v>
      </c>
      <c r="E54" s="76">
        <v>1</v>
      </c>
      <c r="F54" s="74">
        <v>1</v>
      </c>
      <c r="G54" s="21"/>
      <c r="H54" s="73"/>
    </row>
    <row r="55" spans="1:13" s="2" customFormat="1" ht="30" x14ac:dyDescent="0.25">
      <c r="A55" s="73">
        <v>44</v>
      </c>
      <c r="B55" s="78" t="s">
        <v>24</v>
      </c>
      <c r="C55" s="79" t="s">
        <v>92</v>
      </c>
      <c r="D55" s="62">
        <f t="shared" si="1"/>
        <v>44947</v>
      </c>
      <c r="E55" s="76">
        <v>1</v>
      </c>
      <c r="F55" s="74">
        <v>1</v>
      </c>
      <c r="G55" s="21"/>
      <c r="H55" s="73"/>
    </row>
    <row r="56" spans="1:13" s="2" customFormat="1" ht="30" x14ac:dyDescent="0.25">
      <c r="A56" s="73">
        <v>45</v>
      </c>
      <c r="B56" s="78" t="s">
        <v>25</v>
      </c>
      <c r="C56" s="79" t="s">
        <v>93</v>
      </c>
      <c r="D56" s="62">
        <f t="shared" si="1"/>
        <v>44947</v>
      </c>
      <c r="E56" s="76">
        <v>1</v>
      </c>
      <c r="F56" s="74">
        <v>1</v>
      </c>
      <c r="G56" s="21"/>
      <c r="H56" s="73"/>
    </row>
    <row r="57" spans="1:13" s="2" customFormat="1" x14ac:dyDescent="0.25">
      <c r="A57" s="73">
        <v>46</v>
      </c>
      <c r="B57" s="21" t="s">
        <v>20</v>
      </c>
      <c r="C57" s="22" t="s">
        <v>63</v>
      </c>
      <c r="D57" s="21" t="s">
        <v>22</v>
      </c>
      <c r="E57" s="74">
        <v>1</v>
      </c>
      <c r="F57" s="74">
        <v>1</v>
      </c>
      <c r="G57" s="21"/>
      <c r="H57" s="73"/>
    </row>
    <row r="58" spans="1:13" s="2" customFormat="1" ht="30" x14ac:dyDescent="0.25">
      <c r="A58" s="73">
        <v>47</v>
      </c>
      <c r="B58" s="75" t="s">
        <v>64</v>
      </c>
      <c r="C58" s="22" t="s">
        <v>65</v>
      </c>
      <c r="D58" s="21" t="s">
        <v>66</v>
      </c>
      <c r="E58" s="76">
        <v>1</v>
      </c>
      <c r="F58" s="74">
        <v>1</v>
      </c>
      <c r="G58" s="21"/>
      <c r="H58" s="73"/>
    </row>
    <row r="59" spans="1:13" s="2" customFormat="1" ht="30" x14ac:dyDescent="0.25">
      <c r="A59" s="73">
        <v>48</v>
      </c>
      <c r="B59" s="75" t="s">
        <v>67</v>
      </c>
      <c r="C59" s="77" t="s">
        <v>68</v>
      </c>
      <c r="D59" s="75" t="s">
        <v>69</v>
      </c>
      <c r="E59" s="76">
        <v>1</v>
      </c>
      <c r="F59" s="74">
        <v>1</v>
      </c>
      <c r="G59" s="21"/>
      <c r="H59" s="73"/>
    </row>
    <row r="60" spans="1:13" s="2" customFormat="1" x14ac:dyDescent="0.25">
      <c r="A60" s="73">
        <v>49</v>
      </c>
      <c r="B60" s="78" t="s">
        <v>21</v>
      </c>
      <c r="C60" s="77" t="s">
        <v>70</v>
      </c>
      <c r="D60" s="78">
        <v>44774</v>
      </c>
      <c r="E60" s="76">
        <v>1</v>
      </c>
      <c r="F60" s="74">
        <v>50</v>
      </c>
      <c r="G60" s="21"/>
      <c r="H60" s="73"/>
    </row>
    <row r="61" spans="1:13" s="2" customFormat="1" ht="28.5" x14ac:dyDescent="0.25">
      <c r="A61" s="71">
        <v>50</v>
      </c>
      <c r="B61" s="15" t="s">
        <v>94</v>
      </c>
      <c r="C61" s="16" t="s">
        <v>95</v>
      </c>
      <c r="D61" s="17">
        <v>44947</v>
      </c>
      <c r="E61" s="72">
        <v>1</v>
      </c>
      <c r="F61" s="72">
        <v>1</v>
      </c>
      <c r="G61" s="15" t="s">
        <v>59</v>
      </c>
      <c r="H61" s="71"/>
      <c r="L61" s="52"/>
      <c r="M61" s="52"/>
    </row>
    <row r="62" spans="1:13" s="2" customFormat="1" ht="30" x14ac:dyDescent="0.25">
      <c r="A62" s="73">
        <v>51</v>
      </c>
      <c r="B62" s="78" t="s">
        <v>20</v>
      </c>
      <c r="C62" s="79" t="s">
        <v>96</v>
      </c>
      <c r="D62" s="62">
        <f>D61</f>
        <v>44947</v>
      </c>
      <c r="E62" s="76">
        <v>1</v>
      </c>
      <c r="F62" s="74">
        <v>1</v>
      </c>
      <c r="G62" s="21"/>
      <c r="H62" s="73"/>
    </row>
    <row r="63" spans="1:13" s="2" customFormat="1" x14ac:dyDescent="0.25">
      <c r="A63" s="73">
        <v>52</v>
      </c>
      <c r="B63" s="21" t="s">
        <v>20</v>
      </c>
      <c r="C63" s="22" t="s">
        <v>63</v>
      </c>
      <c r="D63" s="21" t="s">
        <v>22</v>
      </c>
      <c r="E63" s="74">
        <v>1</v>
      </c>
      <c r="F63" s="74">
        <v>1</v>
      </c>
      <c r="G63" s="21"/>
      <c r="H63" s="73"/>
    </row>
    <row r="64" spans="1:13" s="2" customFormat="1" ht="30" x14ac:dyDescent="0.25">
      <c r="A64" s="73">
        <v>53</v>
      </c>
      <c r="B64" s="75" t="s">
        <v>64</v>
      </c>
      <c r="C64" s="22" t="s">
        <v>65</v>
      </c>
      <c r="D64" s="21" t="s">
        <v>66</v>
      </c>
      <c r="E64" s="76">
        <v>1</v>
      </c>
      <c r="F64" s="74">
        <v>1</v>
      </c>
      <c r="G64" s="21"/>
      <c r="H64" s="73"/>
    </row>
    <row r="65" spans="1:13" s="2" customFormat="1" ht="30" x14ac:dyDescent="0.25">
      <c r="A65" s="73">
        <v>54</v>
      </c>
      <c r="B65" s="75" t="s">
        <v>67</v>
      </c>
      <c r="C65" s="77" t="s">
        <v>68</v>
      </c>
      <c r="D65" s="75" t="s">
        <v>69</v>
      </c>
      <c r="E65" s="76">
        <v>1</v>
      </c>
      <c r="F65" s="74">
        <v>1</v>
      </c>
      <c r="G65" s="21"/>
      <c r="H65" s="73"/>
    </row>
    <row r="66" spans="1:13" s="2" customFormat="1" ht="20.100000000000001" customHeight="1" x14ac:dyDescent="0.25">
      <c r="A66" s="73">
        <v>55</v>
      </c>
      <c r="B66" s="78" t="s">
        <v>21</v>
      </c>
      <c r="C66" s="79" t="s">
        <v>71</v>
      </c>
      <c r="D66" s="78">
        <v>44774</v>
      </c>
      <c r="E66" s="76">
        <v>1</v>
      </c>
      <c r="F66" s="74">
        <v>1</v>
      </c>
      <c r="G66" s="21"/>
      <c r="H66" s="73"/>
    </row>
    <row r="67" spans="1:13" s="2" customFormat="1" ht="57" x14ac:dyDescent="0.25">
      <c r="A67" s="71">
        <v>56</v>
      </c>
      <c r="B67" s="15" t="s">
        <v>97</v>
      </c>
      <c r="C67" s="16" t="s">
        <v>98</v>
      </c>
      <c r="D67" s="17">
        <v>44948</v>
      </c>
      <c r="E67" s="72">
        <v>1</v>
      </c>
      <c r="F67" s="72">
        <v>1</v>
      </c>
      <c r="G67" s="15" t="s">
        <v>59</v>
      </c>
      <c r="H67" s="71"/>
      <c r="L67" s="52"/>
      <c r="M67" s="52"/>
    </row>
    <row r="68" spans="1:13" s="2" customFormat="1" ht="30" x14ac:dyDescent="0.25">
      <c r="A68" s="73">
        <v>57</v>
      </c>
      <c r="B68" s="78" t="s">
        <v>20</v>
      </c>
      <c r="C68" s="79" t="s">
        <v>99</v>
      </c>
      <c r="D68" s="62">
        <f>D67</f>
        <v>44948</v>
      </c>
      <c r="E68" s="76">
        <v>1</v>
      </c>
      <c r="F68" s="74">
        <v>1</v>
      </c>
      <c r="G68" s="21"/>
      <c r="H68" s="73"/>
    </row>
    <row r="69" spans="1:13" s="2" customFormat="1" ht="30" x14ac:dyDescent="0.25">
      <c r="A69" s="73">
        <v>58</v>
      </c>
      <c r="B69" s="78" t="s">
        <v>24</v>
      </c>
      <c r="C69" s="79" t="s">
        <v>100</v>
      </c>
      <c r="D69" s="62">
        <f>D67</f>
        <v>44948</v>
      </c>
      <c r="E69" s="76">
        <v>1</v>
      </c>
      <c r="F69" s="74">
        <v>1</v>
      </c>
      <c r="G69" s="21"/>
      <c r="H69" s="73"/>
    </row>
    <row r="70" spans="1:13" s="2" customFormat="1" x14ac:dyDescent="0.25">
      <c r="A70" s="73">
        <v>59</v>
      </c>
      <c r="B70" s="21" t="s">
        <v>20</v>
      </c>
      <c r="C70" s="22" t="s">
        <v>63</v>
      </c>
      <c r="D70" s="21" t="s">
        <v>22</v>
      </c>
      <c r="E70" s="74">
        <v>1</v>
      </c>
      <c r="F70" s="74">
        <v>1</v>
      </c>
      <c r="G70" s="21"/>
      <c r="H70" s="73"/>
    </row>
    <row r="71" spans="1:13" s="2" customFormat="1" ht="30" x14ac:dyDescent="0.25">
      <c r="A71" s="73">
        <v>60</v>
      </c>
      <c r="B71" s="75" t="s">
        <v>64</v>
      </c>
      <c r="C71" s="22" t="s">
        <v>65</v>
      </c>
      <c r="D71" s="21" t="s">
        <v>66</v>
      </c>
      <c r="E71" s="76">
        <v>1</v>
      </c>
      <c r="F71" s="74">
        <v>1</v>
      </c>
      <c r="G71" s="21"/>
      <c r="H71" s="73"/>
    </row>
    <row r="72" spans="1:13" s="2" customFormat="1" ht="30" x14ac:dyDescent="0.25">
      <c r="A72" s="73">
        <v>61</v>
      </c>
      <c r="B72" s="75" t="s">
        <v>67</v>
      </c>
      <c r="C72" s="77" t="s">
        <v>68</v>
      </c>
      <c r="D72" s="75" t="s">
        <v>69</v>
      </c>
      <c r="E72" s="76">
        <v>1</v>
      </c>
      <c r="F72" s="74">
        <v>1</v>
      </c>
      <c r="G72" s="21"/>
      <c r="H72" s="73"/>
    </row>
    <row r="73" spans="1:13" s="2" customFormat="1" x14ac:dyDescent="0.25">
      <c r="A73" s="73">
        <v>62</v>
      </c>
      <c r="B73" s="78" t="s">
        <v>21</v>
      </c>
      <c r="C73" s="77" t="s">
        <v>70</v>
      </c>
      <c r="D73" s="78">
        <v>44774</v>
      </c>
      <c r="E73" s="76">
        <v>1</v>
      </c>
      <c r="F73" s="74">
        <v>18</v>
      </c>
      <c r="G73" s="21"/>
      <c r="H73" s="73"/>
    </row>
    <row r="74" spans="1:13" s="2" customFormat="1" ht="20.100000000000001" customHeight="1" x14ac:dyDescent="0.25">
      <c r="A74" s="73">
        <v>63</v>
      </c>
      <c r="B74" s="78" t="s">
        <v>21</v>
      </c>
      <c r="C74" s="79" t="s">
        <v>71</v>
      </c>
      <c r="D74" s="78">
        <v>44774</v>
      </c>
      <c r="E74" s="76">
        <v>1</v>
      </c>
      <c r="F74" s="74">
        <v>1</v>
      </c>
      <c r="G74" s="21"/>
      <c r="H74" s="73"/>
    </row>
    <row r="75" spans="1:13" s="2" customFormat="1" ht="57" x14ac:dyDescent="0.25">
      <c r="A75" s="71">
        <v>64</v>
      </c>
      <c r="B75" s="15" t="s">
        <v>101</v>
      </c>
      <c r="C75" s="16" t="s">
        <v>102</v>
      </c>
      <c r="D75" s="17">
        <v>44948</v>
      </c>
      <c r="E75" s="72">
        <v>1</v>
      </c>
      <c r="F75" s="72">
        <v>1</v>
      </c>
      <c r="G75" s="15" t="s">
        <v>59</v>
      </c>
      <c r="H75" s="71"/>
      <c r="L75" s="52"/>
      <c r="M75" s="52"/>
    </row>
    <row r="76" spans="1:13" s="2" customFormat="1" ht="30" x14ac:dyDescent="0.25">
      <c r="A76" s="73">
        <v>65</v>
      </c>
      <c r="B76" s="78" t="s">
        <v>20</v>
      </c>
      <c r="C76" s="79" t="s">
        <v>103</v>
      </c>
      <c r="D76" s="62">
        <f>D75</f>
        <v>44948</v>
      </c>
      <c r="E76" s="76">
        <v>1</v>
      </c>
      <c r="F76" s="74">
        <v>1</v>
      </c>
      <c r="G76" s="21"/>
      <c r="H76" s="73"/>
    </row>
    <row r="77" spans="1:13" s="2" customFormat="1" ht="30" x14ac:dyDescent="0.25">
      <c r="A77" s="73">
        <v>66</v>
      </c>
      <c r="B77" s="78" t="s">
        <v>24</v>
      </c>
      <c r="C77" s="79" t="s">
        <v>104</v>
      </c>
      <c r="D77" s="62">
        <f>D75</f>
        <v>44948</v>
      </c>
      <c r="E77" s="76">
        <v>1</v>
      </c>
      <c r="F77" s="74">
        <v>1</v>
      </c>
      <c r="G77" s="21"/>
      <c r="H77" s="73"/>
    </row>
    <row r="78" spans="1:13" s="2" customFormat="1" ht="45" x14ac:dyDescent="0.25">
      <c r="A78" s="73">
        <v>67</v>
      </c>
      <c r="B78" s="78" t="s">
        <v>25</v>
      </c>
      <c r="C78" s="79" t="s">
        <v>105</v>
      </c>
      <c r="D78" s="62">
        <f>D75</f>
        <v>44948</v>
      </c>
      <c r="E78" s="76">
        <v>1</v>
      </c>
      <c r="F78" s="74">
        <v>1</v>
      </c>
      <c r="G78" s="21"/>
      <c r="H78" s="73"/>
    </row>
    <row r="79" spans="1:13" s="2" customFormat="1" x14ac:dyDescent="0.25">
      <c r="A79" s="73">
        <v>68</v>
      </c>
      <c r="B79" s="21" t="s">
        <v>20</v>
      </c>
      <c r="C79" s="22" t="s">
        <v>63</v>
      </c>
      <c r="D79" s="21" t="s">
        <v>22</v>
      </c>
      <c r="E79" s="74">
        <v>1</v>
      </c>
      <c r="F79" s="74">
        <v>1</v>
      </c>
      <c r="G79" s="21"/>
      <c r="H79" s="73"/>
    </row>
    <row r="80" spans="1:13" s="2" customFormat="1" ht="30" x14ac:dyDescent="0.25">
      <c r="A80" s="73">
        <v>69</v>
      </c>
      <c r="B80" s="75" t="s">
        <v>64</v>
      </c>
      <c r="C80" s="22" t="s">
        <v>65</v>
      </c>
      <c r="D80" s="21" t="s">
        <v>66</v>
      </c>
      <c r="E80" s="76">
        <v>1</v>
      </c>
      <c r="F80" s="74">
        <v>1</v>
      </c>
      <c r="G80" s="21"/>
      <c r="H80" s="73"/>
    </row>
    <row r="81" spans="1:13" s="2" customFormat="1" ht="30" x14ac:dyDescent="0.25">
      <c r="A81" s="73">
        <v>70</v>
      </c>
      <c r="B81" s="75" t="s">
        <v>67</v>
      </c>
      <c r="C81" s="77" t="s">
        <v>68</v>
      </c>
      <c r="D81" s="75" t="s">
        <v>69</v>
      </c>
      <c r="E81" s="76">
        <v>1</v>
      </c>
      <c r="F81" s="74">
        <v>1</v>
      </c>
      <c r="G81" s="21"/>
      <c r="H81" s="73"/>
    </row>
    <row r="82" spans="1:13" s="2" customFormat="1" x14ac:dyDescent="0.25">
      <c r="A82" s="73">
        <v>71</v>
      </c>
      <c r="B82" s="78" t="s">
        <v>21</v>
      </c>
      <c r="C82" s="77" t="s">
        <v>70</v>
      </c>
      <c r="D82" s="78">
        <v>44774</v>
      </c>
      <c r="E82" s="76">
        <v>1</v>
      </c>
      <c r="F82" s="74">
        <v>62</v>
      </c>
      <c r="G82" s="21"/>
      <c r="H82" s="73"/>
    </row>
    <row r="83" spans="1:13" s="2" customFormat="1" ht="20.100000000000001" customHeight="1" x14ac:dyDescent="0.25">
      <c r="A83" s="73">
        <v>72</v>
      </c>
      <c r="B83" s="78" t="s">
        <v>21</v>
      </c>
      <c r="C83" s="79" t="s">
        <v>71</v>
      </c>
      <c r="D83" s="78">
        <v>44774</v>
      </c>
      <c r="E83" s="76">
        <v>1</v>
      </c>
      <c r="F83" s="74">
        <v>1</v>
      </c>
      <c r="G83" s="21"/>
      <c r="H83" s="73"/>
    </row>
    <row r="84" spans="1:13" s="2" customFormat="1" ht="42.75" x14ac:dyDescent="0.25">
      <c r="A84" s="71">
        <v>73</v>
      </c>
      <c r="B84" s="15" t="s">
        <v>106</v>
      </c>
      <c r="C84" s="16" t="s">
        <v>107</v>
      </c>
      <c r="D84" s="17">
        <v>44948</v>
      </c>
      <c r="E84" s="72">
        <v>1</v>
      </c>
      <c r="F84" s="72">
        <v>1</v>
      </c>
      <c r="G84" s="15" t="s">
        <v>59</v>
      </c>
      <c r="H84" s="71"/>
      <c r="L84" s="52"/>
      <c r="M84" s="52"/>
    </row>
    <row r="85" spans="1:13" s="2" customFormat="1" ht="30" x14ac:dyDescent="0.25">
      <c r="A85" s="73">
        <v>74</v>
      </c>
      <c r="B85" s="78" t="s">
        <v>20</v>
      </c>
      <c r="C85" s="79" t="s">
        <v>108</v>
      </c>
      <c r="D85" s="62">
        <f>D84</f>
        <v>44948</v>
      </c>
      <c r="E85" s="76">
        <v>1</v>
      </c>
      <c r="F85" s="74">
        <v>1</v>
      </c>
      <c r="G85" s="21"/>
      <c r="H85" s="73"/>
    </row>
    <row r="86" spans="1:13" s="2" customFormat="1" x14ac:dyDescent="0.25">
      <c r="A86" s="73">
        <v>75</v>
      </c>
      <c r="B86" s="21" t="s">
        <v>20</v>
      </c>
      <c r="C86" s="22" t="s">
        <v>63</v>
      </c>
      <c r="D86" s="21" t="s">
        <v>22</v>
      </c>
      <c r="E86" s="74">
        <v>1</v>
      </c>
      <c r="F86" s="74">
        <v>1</v>
      </c>
      <c r="G86" s="21"/>
      <c r="H86" s="73"/>
    </row>
    <row r="87" spans="1:13" s="2" customFormat="1" ht="30" x14ac:dyDescent="0.25">
      <c r="A87" s="73">
        <v>76</v>
      </c>
      <c r="B87" s="75" t="s">
        <v>64</v>
      </c>
      <c r="C87" s="22" t="s">
        <v>65</v>
      </c>
      <c r="D87" s="21" t="s">
        <v>66</v>
      </c>
      <c r="E87" s="76">
        <v>1</v>
      </c>
      <c r="F87" s="74">
        <v>1</v>
      </c>
      <c r="G87" s="21"/>
      <c r="H87" s="73"/>
    </row>
    <row r="88" spans="1:13" s="2" customFormat="1" ht="30" x14ac:dyDescent="0.25">
      <c r="A88" s="73">
        <v>77</v>
      </c>
      <c r="B88" s="75" t="s">
        <v>67</v>
      </c>
      <c r="C88" s="77" t="s">
        <v>68</v>
      </c>
      <c r="D88" s="75" t="s">
        <v>69</v>
      </c>
      <c r="E88" s="76">
        <v>1</v>
      </c>
      <c r="F88" s="74">
        <v>1</v>
      </c>
      <c r="G88" s="21"/>
      <c r="H88" s="73"/>
    </row>
    <row r="89" spans="1:13" s="2" customFormat="1" ht="20.100000000000001" customHeight="1" x14ac:dyDescent="0.25">
      <c r="A89" s="73">
        <v>78</v>
      </c>
      <c r="B89" s="78" t="s">
        <v>21</v>
      </c>
      <c r="C89" s="79" t="s">
        <v>71</v>
      </c>
      <c r="D89" s="78">
        <v>44774</v>
      </c>
      <c r="E89" s="76">
        <v>1</v>
      </c>
      <c r="F89" s="74">
        <v>1</v>
      </c>
      <c r="G89" s="21"/>
      <c r="H89" s="73"/>
    </row>
    <row r="90" spans="1:13" s="2" customFormat="1" ht="57" x14ac:dyDescent="0.25">
      <c r="A90" s="71">
        <v>79</v>
      </c>
      <c r="B90" s="15" t="s">
        <v>109</v>
      </c>
      <c r="C90" s="16" t="s">
        <v>110</v>
      </c>
      <c r="D90" s="17">
        <v>44949</v>
      </c>
      <c r="E90" s="72">
        <v>1</v>
      </c>
      <c r="F90" s="72">
        <v>1</v>
      </c>
      <c r="G90" s="15" t="s">
        <v>59</v>
      </c>
      <c r="H90" s="71"/>
      <c r="L90" s="52"/>
      <c r="M90" s="52"/>
    </row>
    <row r="91" spans="1:13" s="2" customFormat="1" ht="45" x14ac:dyDescent="0.25">
      <c r="A91" s="73">
        <v>80</v>
      </c>
      <c r="B91" s="78" t="s">
        <v>20</v>
      </c>
      <c r="C91" s="79" t="s">
        <v>111</v>
      </c>
      <c r="D91" s="62">
        <f>D90</f>
        <v>44949</v>
      </c>
      <c r="E91" s="76">
        <v>2</v>
      </c>
      <c r="F91" s="74">
        <v>1</v>
      </c>
      <c r="G91" s="21"/>
      <c r="H91" s="73"/>
    </row>
    <row r="92" spans="1:13" s="2" customFormat="1" ht="45" x14ac:dyDescent="0.25">
      <c r="A92" s="73">
        <v>81</v>
      </c>
      <c r="B92" s="78" t="s">
        <v>24</v>
      </c>
      <c r="C92" s="79" t="s">
        <v>112</v>
      </c>
      <c r="D92" s="62">
        <f>D90</f>
        <v>44949</v>
      </c>
      <c r="E92" s="76">
        <v>1</v>
      </c>
      <c r="F92" s="74">
        <v>1</v>
      </c>
      <c r="G92" s="21"/>
      <c r="H92" s="73"/>
    </row>
    <row r="93" spans="1:13" s="2" customFormat="1" ht="30" x14ac:dyDescent="0.25">
      <c r="A93" s="73">
        <v>82</v>
      </c>
      <c r="B93" s="78" t="s">
        <v>25</v>
      </c>
      <c r="C93" s="79" t="s">
        <v>113</v>
      </c>
      <c r="D93" s="62">
        <f>D90</f>
        <v>44949</v>
      </c>
      <c r="E93" s="76">
        <v>1</v>
      </c>
      <c r="F93" s="74">
        <v>1</v>
      </c>
      <c r="G93" s="21"/>
      <c r="H93" s="73"/>
    </row>
    <row r="94" spans="1:13" s="2" customFormat="1" x14ac:dyDescent="0.25">
      <c r="A94" s="73">
        <v>83</v>
      </c>
      <c r="B94" s="21" t="s">
        <v>20</v>
      </c>
      <c r="C94" s="22" t="s">
        <v>63</v>
      </c>
      <c r="D94" s="21" t="s">
        <v>22</v>
      </c>
      <c r="E94" s="74">
        <v>1</v>
      </c>
      <c r="F94" s="74">
        <v>1</v>
      </c>
      <c r="G94" s="21"/>
      <c r="H94" s="73"/>
    </row>
    <row r="95" spans="1:13" s="2" customFormat="1" ht="30" x14ac:dyDescent="0.25">
      <c r="A95" s="73">
        <v>84</v>
      </c>
      <c r="B95" s="75" t="s">
        <v>64</v>
      </c>
      <c r="C95" s="22" t="s">
        <v>65</v>
      </c>
      <c r="D95" s="21" t="s">
        <v>66</v>
      </c>
      <c r="E95" s="76">
        <v>1</v>
      </c>
      <c r="F95" s="74">
        <v>1</v>
      </c>
      <c r="G95" s="21"/>
      <c r="H95" s="73"/>
    </row>
    <row r="96" spans="1:13" s="2" customFormat="1" ht="30" x14ac:dyDescent="0.25">
      <c r="A96" s="73">
        <v>85</v>
      </c>
      <c r="B96" s="75" t="s">
        <v>67</v>
      </c>
      <c r="C96" s="77" t="s">
        <v>68</v>
      </c>
      <c r="D96" s="75" t="s">
        <v>69</v>
      </c>
      <c r="E96" s="76">
        <v>1</v>
      </c>
      <c r="F96" s="74">
        <v>1</v>
      </c>
      <c r="G96" s="21"/>
      <c r="H96" s="73"/>
    </row>
    <row r="97" spans="1:13" s="2" customFormat="1" x14ac:dyDescent="0.25">
      <c r="A97" s="73">
        <v>86</v>
      </c>
      <c r="B97" s="78" t="s">
        <v>21</v>
      </c>
      <c r="C97" s="77" t="s">
        <v>70</v>
      </c>
      <c r="D97" s="78">
        <v>44774</v>
      </c>
      <c r="E97" s="76">
        <v>1</v>
      </c>
      <c r="F97" s="74">
        <v>56</v>
      </c>
      <c r="G97" s="21"/>
      <c r="H97" s="73"/>
    </row>
    <row r="98" spans="1:13" s="2" customFormat="1" ht="20.100000000000001" customHeight="1" x14ac:dyDescent="0.25">
      <c r="A98" s="73">
        <v>87</v>
      </c>
      <c r="B98" s="78" t="s">
        <v>21</v>
      </c>
      <c r="C98" s="79" t="s">
        <v>71</v>
      </c>
      <c r="D98" s="78">
        <v>44774</v>
      </c>
      <c r="E98" s="76">
        <v>1</v>
      </c>
      <c r="F98" s="74">
        <v>6</v>
      </c>
      <c r="G98" s="21"/>
      <c r="H98" s="73"/>
    </row>
    <row r="99" spans="1:13" s="2" customFormat="1" ht="57" x14ac:dyDescent="0.25">
      <c r="A99" s="71">
        <v>88</v>
      </c>
      <c r="B99" s="15" t="s">
        <v>114</v>
      </c>
      <c r="C99" s="16" t="s">
        <v>115</v>
      </c>
      <c r="D99" s="17">
        <v>44949</v>
      </c>
      <c r="E99" s="72">
        <v>1</v>
      </c>
      <c r="F99" s="72">
        <v>1</v>
      </c>
      <c r="G99" s="15" t="s">
        <v>59</v>
      </c>
      <c r="H99" s="71"/>
      <c r="L99" s="52"/>
      <c r="M99" s="52"/>
    </row>
    <row r="100" spans="1:13" s="2" customFormat="1" ht="30" x14ac:dyDescent="0.25">
      <c r="A100" s="73">
        <v>89</v>
      </c>
      <c r="B100" s="78" t="s">
        <v>20</v>
      </c>
      <c r="C100" s="79" t="s">
        <v>116</v>
      </c>
      <c r="D100" s="62">
        <f>D99</f>
        <v>44949</v>
      </c>
      <c r="E100" s="76">
        <v>1</v>
      </c>
      <c r="F100" s="74">
        <v>1</v>
      </c>
      <c r="G100" s="21"/>
      <c r="H100" s="73"/>
    </row>
    <row r="101" spans="1:13" s="2" customFormat="1" ht="30" x14ac:dyDescent="0.25">
      <c r="A101" s="73">
        <v>90</v>
      </c>
      <c r="B101" s="78" t="s">
        <v>24</v>
      </c>
      <c r="C101" s="79" t="s">
        <v>117</v>
      </c>
      <c r="D101" s="62">
        <f>D99</f>
        <v>44949</v>
      </c>
      <c r="E101" s="76">
        <v>1</v>
      </c>
      <c r="F101" s="74">
        <v>1</v>
      </c>
      <c r="G101" s="21"/>
      <c r="H101" s="73"/>
    </row>
    <row r="102" spans="1:13" s="2" customFormat="1" x14ac:dyDescent="0.25">
      <c r="A102" s="73">
        <v>91</v>
      </c>
      <c r="B102" s="21" t="s">
        <v>20</v>
      </c>
      <c r="C102" s="22" t="s">
        <v>63</v>
      </c>
      <c r="D102" s="21" t="s">
        <v>22</v>
      </c>
      <c r="E102" s="74">
        <v>1</v>
      </c>
      <c r="F102" s="74">
        <v>1</v>
      </c>
      <c r="G102" s="21"/>
      <c r="H102" s="73"/>
    </row>
    <row r="103" spans="1:13" s="2" customFormat="1" ht="30" x14ac:dyDescent="0.25">
      <c r="A103" s="73">
        <v>92</v>
      </c>
      <c r="B103" s="75" t="s">
        <v>64</v>
      </c>
      <c r="C103" s="22" t="s">
        <v>65</v>
      </c>
      <c r="D103" s="21" t="s">
        <v>66</v>
      </c>
      <c r="E103" s="76">
        <v>1</v>
      </c>
      <c r="F103" s="74">
        <v>1</v>
      </c>
      <c r="G103" s="21"/>
      <c r="H103" s="73"/>
    </row>
    <row r="104" spans="1:13" s="2" customFormat="1" ht="30" x14ac:dyDescent="0.25">
      <c r="A104" s="73">
        <v>93</v>
      </c>
      <c r="B104" s="75" t="s">
        <v>67</v>
      </c>
      <c r="C104" s="77" t="s">
        <v>68</v>
      </c>
      <c r="D104" s="75" t="s">
        <v>69</v>
      </c>
      <c r="E104" s="76">
        <v>1</v>
      </c>
      <c r="F104" s="74">
        <v>1</v>
      </c>
      <c r="G104" s="21"/>
      <c r="H104" s="73"/>
    </row>
    <row r="105" spans="1:13" s="2" customFormat="1" x14ac:dyDescent="0.25">
      <c r="A105" s="73">
        <v>94</v>
      </c>
      <c r="B105" s="78" t="s">
        <v>21</v>
      </c>
      <c r="C105" s="77" t="s">
        <v>70</v>
      </c>
      <c r="D105" s="78">
        <v>44774</v>
      </c>
      <c r="E105" s="76">
        <v>1</v>
      </c>
      <c r="F105" s="74">
        <v>5</v>
      </c>
      <c r="G105" s="21"/>
      <c r="H105" s="73"/>
    </row>
    <row r="106" spans="1:13" s="2" customFormat="1" ht="20.100000000000001" customHeight="1" x14ac:dyDescent="0.25">
      <c r="A106" s="73">
        <v>95</v>
      </c>
      <c r="B106" s="78" t="s">
        <v>21</v>
      </c>
      <c r="C106" s="79" t="s">
        <v>71</v>
      </c>
      <c r="D106" s="78">
        <v>44774</v>
      </c>
      <c r="E106" s="76">
        <v>1</v>
      </c>
      <c r="F106" s="74">
        <v>1</v>
      </c>
      <c r="G106" s="21"/>
      <c r="H106" s="73"/>
    </row>
    <row r="107" spans="1:13" s="2" customFormat="1" x14ac:dyDescent="0.25">
      <c r="A107" s="64"/>
      <c r="B107" s="65"/>
      <c r="C107" s="81" t="s">
        <v>118</v>
      </c>
      <c r="D107" s="67"/>
      <c r="E107" s="82"/>
      <c r="F107" s="83"/>
      <c r="G107" s="68"/>
      <c r="H107" s="64"/>
    </row>
    <row r="108" spans="1:13" s="2" customFormat="1" x14ac:dyDescent="0.25">
      <c r="A108" s="64"/>
      <c r="B108" s="65"/>
      <c r="C108" s="66"/>
      <c r="D108" s="67"/>
      <c r="E108" s="82"/>
      <c r="F108" s="83"/>
      <c r="G108" s="68"/>
      <c r="H108" s="64"/>
    </row>
    <row r="109" spans="1:13" s="39" customFormat="1" ht="18.75" x14ac:dyDescent="0.3">
      <c r="A109" s="54"/>
      <c r="B109" s="69" t="s">
        <v>119</v>
      </c>
      <c r="C109" s="84"/>
      <c r="D109" s="58"/>
      <c r="E109" s="85"/>
      <c r="F109" s="86"/>
      <c r="G109" s="58"/>
      <c r="H109" s="58"/>
    </row>
    <row r="110" spans="1:13" s="39" customFormat="1" ht="18.75" x14ac:dyDescent="0.3">
      <c r="A110" s="54"/>
      <c r="B110" s="56"/>
      <c r="C110" s="104" t="s">
        <v>29</v>
      </c>
      <c r="D110" s="104"/>
      <c r="E110" s="104"/>
      <c r="F110" s="104"/>
      <c r="G110" s="104"/>
      <c r="H110" s="58"/>
    </row>
    <row r="111" spans="1:13" s="39" customFormat="1" ht="18.75" x14ac:dyDescent="0.3">
      <c r="A111" s="54"/>
      <c r="B111" s="69" t="s">
        <v>120</v>
      </c>
      <c r="C111" s="84"/>
      <c r="D111" s="58"/>
      <c r="E111" s="85"/>
      <c r="F111" s="86"/>
      <c r="G111" s="58"/>
      <c r="H111" s="58"/>
    </row>
    <row r="112" spans="1:13" s="39" customFormat="1" ht="18.75" x14ac:dyDescent="0.3">
      <c r="A112" s="54"/>
      <c r="B112" s="56"/>
      <c r="C112" s="104" t="s">
        <v>29</v>
      </c>
      <c r="D112" s="104"/>
      <c r="E112" s="104"/>
      <c r="F112" s="104"/>
      <c r="G112" s="104"/>
      <c r="H112" s="58"/>
    </row>
    <row r="113" spans="1:8" s="87" customFormat="1" ht="12.75" x14ac:dyDescent="0.2">
      <c r="A113" s="88"/>
      <c r="B113" s="88"/>
      <c r="C113" s="89"/>
      <c r="D113" s="89"/>
      <c r="E113" s="89"/>
      <c r="F113" s="89"/>
      <c r="G113" s="89"/>
      <c r="H113" s="89"/>
    </row>
    <row r="114" spans="1:8" s="87" customFormat="1" ht="12.75" x14ac:dyDescent="0.2">
      <c r="A114" s="88"/>
      <c r="B114" s="88"/>
      <c r="C114" s="89"/>
      <c r="D114" s="89"/>
      <c r="E114" s="89"/>
      <c r="F114" s="89"/>
      <c r="G114" s="89"/>
      <c r="H114" s="89"/>
    </row>
    <row r="115" spans="1:8" s="87" customFormat="1" ht="12.75" x14ac:dyDescent="0.2">
      <c r="A115" s="88"/>
      <c r="B115" s="88"/>
      <c r="C115" s="89"/>
      <c r="D115" s="89"/>
      <c r="E115" s="89"/>
      <c r="F115" s="89"/>
      <c r="G115" s="89"/>
      <c r="H115" s="89"/>
    </row>
    <row r="116" spans="1:8" s="87" customFormat="1" ht="12.75" x14ac:dyDescent="0.2">
      <c r="A116" s="90"/>
      <c r="B116" s="90"/>
    </row>
    <row r="117" spans="1:8" s="87" customFormat="1" ht="12.75" x14ac:dyDescent="0.2">
      <c r="A117" s="90"/>
      <c r="B117" s="90"/>
    </row>
  </sheetData>
  <autoFilter ref="B10:H107" xr:uid="{00000000-0009-0000-0000-000002000000}"/>
  <mergeCells count="16">
    <mergeCell ref="C112:G112"/>
    <mergeCell ref="A8:B8"/>
    <mergeCell ref="C8:H8"/>
    <mergeCell ref="A9:B9"/>
    <mergeCell ref="C9:H9"/>
    <mergeCell ref="C110:G110"/>
    <mergeCell ref="A5:B5"/>
    <mergeCell ref="C5:H5"/>
    <mergeCell ref="A6:B6"/>
    <mergeCell ref="C6:H6"/>
    <mergeCell ref="A7:B7"/>
    <mergeCell ref="A1:H1"/>
    <mergeCell ref="A2:B3"/>
    <mergeCell ref="C2:H3"/>
    <mergeCell ref="A4:B4"/>
    <mergeCell ref="C4:H4"/>
  </mergeCells>
  <pageMargins left="0.39370078740157477" right="0.39370078740157477" top="0.78740157480314954" bottom="0.78740157480314954" header="0" footer="0"/>
  <pageSetup paperSize="9" scale="63" fitToHeight="0" orientation="landscape" horizontalDpi="1200" verticalDpi="1200" r:id="rId1"/>
  <headerFooter>
    <oddFooter>&amp;C&amp;P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5</vt:i4>
      </vt:variant>
    </vt:vector>
  </HeadingPairs>
  <TitlesOfParts>
    <vt:vector size="8" baseType="lpstr">
      <vt:lpstr>Лист1</vt:lpstr>
      <vt:lpstr>Реестр 9.33 (копии)</vt:lpstr>
      <vt:lpstr>Реестр №2</vt:lpstr>
      <vt:lpstr>'Реестр 9.33 (копии)'!Print_Titles</vt:lpstr>
      <vt:lpstr>'Реестр №2'!Print_Titles</vt:lpstr>
      <vt:lpstr>Лист1!Область_печати</vt:lpstr>
      <vt:lpstr>'Реестр 9.33 (копии)'!Область_печати</vt:lpstr>
      <vt:lpstr>'Реестр №2'!Область_печати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</dc:creator>
  <cp:lastModifiedBy>Egor Shelyag</cp:lastModifiedBy>
  <cp:revision>1</cp:revision>
  <cp:lastPrinted>2025-09-17T17:51:17Z</cp:lastPrinted>
  <dcterms:created xsi:type="dcterms:W3CDTF">2023-05-03T14:01:40Z</dcterms:created>
  <dcterms:modified xsi:type="dcterms:W3CDTF">2025-10-19T15:02:43Z</dcterms:modified>
</cp:coreProperties>
</file>