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Rafstroy_NAS\СЕРВЕР\!Корпус В3\!ИД\11.ВК\Реестр № В3.ВК.1\2. Исполнительная документация в формате Excel\"/>
    </mc:Choice>
  </mc:AlternateContent>
  <xr:revisionPtr revIDLastSave="0" documentId="13_ncr:1_{DEB4CA45-B9F5-4552-B009-C9A416163D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Реестр 9.33 (копии) (3)" sheetId="4" r:id="rId1"/>
    <sheet name="Реестр 9.33 (копии)" sheetId="3" state="hidden" r:id="rId2"/>
    <sheet name="Реестр №2" sheetId="2" state="hidden" r:id="rId3"/>
  </sheets>
  <definedNames>
    <definedName name="_FilterDatabase" localSheetId="1" hidden="1">'Реестр 9.33 (копии)'!$B$10:$H$18</definedName>
    <definedName name="_FilterDatabase" localSheetId="0" hidden="1">'Реестр 9.33 (копии) (3)'!$B$12:$H$102</definedName>
    <definedName name="_FilterDatabase" localSheetId="2" hidden="1">'Реестр №2'!$B$10:$H$107</definedName>
    <definedName name="_xlnm._FilterDatabase" localSheetId="1" hidden="1">'Реестр 9.33 (копии)'!$B$10:$H$18</definedName>
    <definedName name="_xlnm._FilterDatabase" localSheetId="2" hidden="1">'Реестр №2'!$B$10:$H$107</definedName>
    <definedName name="Print_Area" localSheetId="1">'Реестр 9.33 (копии)'!$A$1:$H$18</definedName>
    <definedName name="Print_Area" localSheetId="0">'Реестр 9.33 (копии) (3)'!$A$3:$H$120</definedName>
    <definedName name="Print_Area" localSheetId="2">'Реестр №2'!$A$1:$H$114</definedName>
    <definedName name="Print_Titles" localSheetId="1">'Реестр 9.33 (копии)'!$10:$11</definedName>
    <definedName name="Print_Titles" localSheetId="0">'Реестр 9.33 (копии) (3)'!$12:$13</definedName>
    <definedName name="Print_Titles" localSheetId="2">'Реестр №2'!$10:$11</definedName>
    <definedName name="_xlnm.Print_Titles" localSheetId="1">'Реестр 9.33 (копии)'!$10:$11</definedName>
    <definedName name="_xlnm.Print_Titles" localSheetId="0">'Реестр 9.33 (копии) (3)'!$12:$13</definedName>
    <definedName name="_xlnm.Print_Titles" localSheetId="2">'Реестр №2'!$10:$11</definedName>
    <definedName name="_xlnm.Print_Area" localSheetId="1">'Реестр 9.33 (копии)'!$A$1:$H$25</definedName>
    <definedName name="_xlnm.Print_Area" localSheetId="0">'Реестр 9.33 (копии) (3)'!$A$1:$H$124</definedName>
    <definedName name="_xlnm.Print_Area" localSheetId="2">'Реестр №2'!$A$1:$H$112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4" l="1"/>
  <c r="J62" i="4"/>
  <c r="J63" i="4" s="1"/>
  <c r="H62" i="4"/>
  <c r="H63" i="4" l="1"/>
  <c r="J64" i="4"/>
  <c r="C115" i="4"/>
  <c r="J65" i="4" l="1"/>
  <c r="H64" i="4"/>
  <c r="J14" i="4"/>
  <c r="H14" i="4" s="1"/>
  <c r="J66" i="4" l="1"/>
  <c r="H65" i="4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H66" i="4" l="1"/>
  <c r="J67" i="4"/>
  <c r="H16" i="4"/>
  <c r="H15" i="4"/>
  <c r="D101" i="2"/>
  <c r="D100" i="2"/>
  <c r="D93" i="2"/>
  <c r="D92" i="2"/>
  <c r="D91" i="2"/>
  <c r="D85" i="2"/>
  <c r="D78" i="2"/>
  <c r="D77" i="2"/>
  <c r="D76" i="2"/>
  <c r="D69" i="2"/>
  <c r="D68" i="2"/>
  <c r="D62" i="2"/>
  <c r="D56" i="2"/>
  <c r="D55" i="2"/>
  <c r="D54" i="2"/>
  <c r="D47" i="2"/>
  <c r="D46" i="2"/>
  <c r="D45" i="2"/>
  <c r="D39" i="2"/>
  <c r="D32" i="2"/>
  <c r="D31" i="2"/>
  <c r="D30" i="2"/>
  <c r="D23" i="2"/>
  <c r="D22" i="2"/>
  <c r="D15" i="2"/>
  <c r="D14" i="2"/>
  <c r="D13" i="2"/>
  <c r="J68" i="4" l="1"/>
  <c r="H67" i="4"/>
  <c r="H17" i="4"/>
  <c r="J69" i="4" l="1"/>
  <c r="H68" i="4"/>
  <c r="H18" i="4"/>
  <c r="J70" i="4" l="1"/>
  <c r="H69" i="4"/>
  <c r="H19" i="4"/>
  <c r="H70" i="4" l="1"/>
  <c r="J71" i="4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H20" i="4"/>
  <c r="J82" i="4" l="1"/>
  <c r="H81" i="4"/>
  <c r="H21" i="4"/>
  <c r="J83" i="4" l="1"/>
  <c r="H82" i="4"/>
  <c r="H22" i="4"/>
  <c r="J84" i="4" l="1"/>
  <c r="H83" i="4"/>
  <c r="H23" i="4"/>
  <c r="J85" i="4" l="1"/>
  <c r="H84" i="4"/>
  <c r="H24" i="4"/>
  <c r="J86" i="4" l="1"/>
  <c r="H85" i="4"/>
  <c r="H25" i="4"/>
  <c r="J87" i="4" l="1"/>
  <c r="H86" i="4"/>
  <c r="H26" i="4"/>
  <c r="J88" i="4" l="1"/>
  <c r="H87" i="4"/>
  <c r="H27" i="4"/>
  <c r="J89" i="4" l="1"/>
  <c r="H88" i="4"/>
  <c r="H28" i="4"/>
  <c r="J90" i="4" l="1"/>
  <c r="H89" i="4"/>
  <c r="H29" i="4"/>
  <c r="J91" i="4" l="1"/>
  <c r="H90" i="4"/>
  <c r="H30" i="4"/>
  <c r="J92" i="4" l="1"/>
  <c r="H91" i="4"/>
  <c r="H31" i="4"/>
  <c r="J93" i="4" l="1"/>
  <c r="H92" i="4"/>
  <c r="H32" i="4"/>
  <c r="J94" i="4" l="1"/>
  <c r="H93" i="4"/>
  <c r="H33" i="4"/>
  <c r="J95" i="4" l="1"/>
  <c r="H94" i="4"/>
  <c r="H34" i="4"/>
  <c r="J96" i="4" l="1"/>
  <c r="H95" i="4"/>
  <c r="H35" i="4"/>
  <c r="J97" i="4" l="1"/>
  <c r="H96" i="4"/>
  <c r="H36" i="4"/>
  <c r="J98" i="4" l="1"/>
  <c r="H97" i="4"/>
  <c r="H37" i="4"/>
  <c r="J99" i="4" l="1"/>
  <c r="H98" i="4"/>
  <c r="H38" i="4"/>
  <c r="J100" i="4" l="1"/>
  <c r="H99" i="4"/>
  <c r="H39" i="4"/>
  <c r="J101" i="4" l="1"/>
  <c r="H100" i="4"/>
  <c r="H40" i="4"/>
  <c r="J102" i="4" l="1"/>
  <c r="H101" i="4"/>
  <c r="H41" i="4"/>
  <c r="J103" i="4" l="1"/>
  <c r="H102" i="4"/>
  <c r="H42" i="4"/>
  <c r="J104" i="4" l="1"/>
  <c r="H103" i="4"/>
  <c r="H43" i="4"/>
  <c r="J105" i="4" l="1"/>
  <c r="H104" i="4"/>
  <c r="H44" i="4"/>
  <c r="J106" i="4" l="1"/>
  <c r="H105" i="4"/>
  <c r="H45" i="4"/>
  <c r="J107" i="4" l="1"/>
  <c r="H106" i="4"/>
  <c r="H46" i="4"/>
  <c r="J108" i="4" l="1"/>
  <c r="H107" i="4"/>
  <c r="H47" i="4"/>
  <c r="J109" i="4" l="1"/>
  <c r="H108" i="4"/>
  <c r="H48" i="4"/>
  <c r="J110" i="4" l="1"/>
  <c r="H109" i="4"/>
  <c r="H49" i="4"/>
  <c r="J111" i="4" l="1"/>
  <c r="H110" i="4"/>
  <c r="H50" i="4"/>
  <c r="J112" i="4" l="1"/>
  <c r="H111" i="4"/>
  <c r="H51" i="4"/>
  <c r="J113" i="4" l="1"/>
  <c r="H113" i="4" s="1"/>
  <c r="H112" i="4"/>
  <c r="H52" i="4"/>
  <c r="H53" i="4" l="1"/>
  <c r="H54" i="4" l="1"/>
  <c r="H55" i="4" l="1"/>
  <c r="H56" i="4" l="1"/>
  <c r="H57" i="4" l="1"/>
  <c r="H58" i="4" l="1"/>
  <c r="H59" i="4" l="1"/>
  <c r="H60" i="4" l="1"/>
  <c r="H61" i="4" l="1"/>
  <c r="H72" i="4" l="1"/>
  <c r="H73" i="4" l="1"/>
  <c r="H74" i="4" l="1"/>
  <c r="H75" i="4" l="1"/>
  <c r="H76" i="4" l="1"/>
  <c r="H77" i="4" l="1"/>
  <c r="H78" i="4" l="1"/>
  <c r="H79" i="4" l="1"/>
  <c r="H80" i="4" l="1"/>
</calcChain>
</file>

<file path=xl/sharedStrings.xml><?xml version="1.0" encoding="utf-8"?>
<sst xmlns="http://schemas.openxmlformats.org/spreadsheetml/2006/main" count="823" uniqueCount="378">
  <si>
    <t>Объект капитального ремонта:</t>
  </si>
  <si>
    <t>Адрес объекта:</t>
  </si>
  <si>
    <t>Производитель работ:</t>
  </si>
  <si>
    <t>АО "КРОКУС"</t>
  </si>
  <si>
    <t>Основание для выполнения работ:</t>
  </si>
  <si>
    <t>Договор подряда №ТСД-09/21 от 29.07.2021г.</t>
  </si>
  <si>
    <t>Номер корпуса:</t>
  </si>
  <si>
    <t>К1</t>
  </si>
  <si>
    <t>Период выполнения работ:</t>
  </si>
  <si>
    <t>Наименование работ:</t>
  </si>
  <si>
    <t>№п.п</t>
  </si>
  <si>
    <t>Номер документа</t>
  </si>
  <si>
    <t>Кол-во экземпляров шт.</t>
  </si>
  <si>
    <t>Шифр чертежа</t>
  </si>
  <si>
    <t>Примечание</t>
  </si>
  <si>
    <t>Тип документа (акт, лабораторное заключение, исполнительная схема, сертификат) с указанием наименования работ, осей, отметок и т.д.</t>
  </si>
  <si>
    <t>Сдал: представитель Генерального подрядчика  ______________________________________________________________________________________________________________________________</t>
  </si>
  <si>
    <t xml:space="preserve">                                                             (Должность) (Фамилия Имя Отчество)                                            (Подпись)                                (Дата)                                                      </t>
  </si>
  <si>
    <t>Принял: представитель Технического заказчика  _____________________________________________________________________________________________________________________________</t>
  </si>
  <si>
    <t>Волоколамское шоссе, вл.75А, район Покровское-Стрешнево, Северо-Западный административный округ г. Москвы.</t>
  </si>
  <si>
    <t>Дата  составления документа (либо период)</t>
  </si>
  <si>
    <t>«Капитальный ремонт помещений Бизнес – парка с подземной автостоянкой по адресу: Волоколамское шоссе, вл.75А, район Покровское-Стрешнево, Северо-Западный административный округ г. Москвы».</t>
  </si>
  <si>
    <t>Кол-во листов, шт</t>
  </si>
  <si>
    <t>К-ЦЖ/122021/РТС-К1-ТХ1-21</t>
  </si>
  <si>
    <t>№1</t>
  </si>
  <si>
    <t>Реестр</t>
  </si>
  <si>
    <t>б/д</t>
  </si>
  <si>
    <t>Сертификат соответствия</t>
  </si>
  <si>
    <t>Декларация о соответствия</t>
  </si>
  <si>
    <t>№ РОСС RU.31621.04ПШН4.02.П00161</t>
  </si>
  <si>
    <t>ЕАЭС № RU Д-RU.ВЕ02.В.11853/20</t>
  </si>
  <si>
    <t>с 05.05.2022 по 04.05.2025</t>
  </si>
  <si>
    <t>с 21.09.2020 по 20.09.2025</t>
  </si>
  <si>
    <t>Паспорт изделия Стеллажи серии МС</t>
  </si>
  <si>
    <t>б/н</t>
  </si>
  <si>
    <t>№2</t>
  </si>
  <si>
    <t>Паспорт разборного металлического шкафа</t>
  </si>
  <si>
    <t>№3</t>
  </si>
  <si>
    <t>Оснащение архивов металлическими шкафами и стеллажами с 1-го по 19-й этаж корпуса К1</t>
  </si>
  <si>
    <t>с 19.01.2023г. по 23.01.2023г.</t>
  </si>
  <si>
    <t>9/ЧБ-п/К1/ТХ1-21/11-МШ</t>
  </si>
  <si>
    <t xml:space="preserve">Исполнительная схема №1. Сборка и установка архивных шкафов серии ШАМ в проектное положение на 11-ом этаже корпуса К1 в помещении 29 и 42. </t>
  </si>
  <si>
    <t xml:space="preserve">Исполнительная схема №2. Сборка и установка архивных шкафов серии ШАМ в проектное положение на 11-ом этаже корпуса К1 в помещении 41. </t>
  </si>
  <si>
    <t>Исполнительная схема №3. Сборка и установка стеллажей серии МС-750 в проектное положение на 11-ом этаже корпуса К1 в помещении Ф.9.</t>
  </si>
  <si>
    <t>10/ЧБ-п/К1/ТХ1-21/12-МШ</t>
  </si>
  <si>
    <t>Исполнительная схема №1. Сборка и установка архивных шкафов серии ШАМ в проектное положение на 12-ом этаже корпуса К1 в помещении 36.</t>
  </si>
  <si>
    <t>Исполнительная схема №2. Сборка и установка стеллажей серии МС-750 в проектное положение на 12-ом этаже корпуса К1 в помещении Т.3.</t>
  </si>
  <si>
    <t>11/ЧБ-п/К1/ТХ1-21/13-МШ</t>
  </si>
  <si>
    <t>Исполнительная схема №1. Сборка и установка архивных шкафов серии ШАМ в проектное положение на 13-ом этаже корпуса К1 в помещении 10.</t>
  </si>
  <si>
    <t xml:space="preserve">Исполнительная схема №2. Сборка и установка архивных шкафов серии ШАМ в проектное положение на 13-ом этаже корпуса К1 в помещении 13. </t>
  </si>
  <si>
    <t>Исполнительная схема №3. Сборка и установка стеллажей Титан МС-750 в проектное положение на 13-ом этаже корпуса К1 в помещении 48.</t>
  </si>
  <si>
    <t>11.1/ЧБ-п/К1/ТХ1-21/13-МШ</t>
  </si>
  <si>
    <t xml:space="preserve">Исполнительная схема №1. Сборка и установка стеллажей серии МС-750 в проектное положение на 13-ом этаже корпуса К1 в помещении Т.5. </t>
  </si>
  <si>
    <t>12/ЧБ-п/К1/ТХ1-21/14-МШ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</si>
  <si>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34. </t>
  </si>
  <si>
    <t xml:space="preserve">Исполнительная схема №1. Сборка и установка архивных шкафов серии ШАМ в проектное положение на 14-ом этаже корпуса К1 в помещении 12. </t>
  </si>
  <si>
    <t>Исполнительная схема №3. Сборка и установка стеллажей серии МС-750 в проектное положение на 14-ом этаже корпуса К1 в помещении Ф.6.</t>
  </si>
  <si>
    <t>13/ЧБ-п/К1/ТХ1-21/15-МШ</t>
  </si>
  <si>
    <t>Исполнительная схема №1. Сборка и установка архивных шкафов серии ШАМ в проектное положение на 15-ом этаже корпуса К1 в помещении 58 и 59.</t>
  </si>
  <si>
    <t>Исполнительная схема №2. Сборка и установка архивных шкафов серии ШАМ в проектное положение на 15-ом этаже корпуса К1 в помещении 09 и 60.</t>
  </si>
  <si>
    <t>Исполнительная схема №3. Сборка и установка архивных шкафов серии ШАМ в проектное положение на 15-ом этаже корпуса К1 в помещении 49.</t>
  </si>
  <si>
    <t>13.1/ЧБ-п/К1/ТХ1-21/15-МШ</t>
  </si>
  <si>
    <t>Исполнительная схема №1. Сборка и установка стеллажа серии МС-750 в проектное положение на 15-ом этаже корпуса К1 в помещении Т.3.</t>
  </si>
  <si>
    <t>14/ЧБ-п/К1/ТХ1-21/16-МШ</t>
  </si>
  <si>
    <t>Исполнительная схема №1. Сборка и установка архивных шкафов серии ШАМ в проектное положение на 16-ом этаже корпуса К1 в помещении 49.</t>
  </si>
  <si>
    <t>Исполнительная схема №2. Сборка и установка стеллажей серии МС-750 в проектное положение на 16-ом этаже корпуса К1 в помещении Т.3.</t>
  </si>
  <si>
    <t>15/ЧБ-п/К1/ТХ1-21/17-МШ</t>
  </si>
  <si>
    <t xml:space="preserve">Исполнительная схема №1. Сборка и установка архивных шкафов серии ШАМ в проектное положение на 17-ом этаже корпуса К1 в помещении 07. </t>
  </si>
  <si>
    <t>Исполнительная схема №2. Сборка и установка архивных шкафов серии ШАМ в проектное положение на 17-ом этаже корпуса К1 в помещении 49.</t>
  </si>
  <si>
    <t>Исполнительная схема №3. Сборка и установка архивных шкафов серии ШАМ и стеллажей серии МС-750 в проектное положение на 17-ом этаже корпуса К1 в помещении 29.</t>
  </si>
  <si>
    <t>15.1/ЧБ-п/К1/ТХ1-21/17-МШ</t>
  </si>
  <si>
    <t xml:space="preserve">Исполнительная схема №1. Сборка и установка стеллажей серии МС-750 в проектное положение на 17-ом этаже корпуса К1 в помещении Т.3. </t>
  </si>
  <si>
    <t>16/ЧБ-п/К1/ТХ1-21/18-МШ</t>
  </si>
  <si>
    <t xml:space="preserve">Исполнительная схема №1. Сборка и установка архивных шкафов серии ШАМ и стеллажей серии МС-750 в проектное положение на 18-ом этаже корпуса К1 в помещении 39 и 45. </t>
  </si>
  <si>
    <t xml:space="preserve">Исполнительная схема №2. Сборка и установка архивных шкафов серии ШАМ и стеллажей серии МС-750 в проектное положение на 18-ом этаже корпуса К1 в помещении 62. </t>
  </si>
  <si>
    <t>Исполнительная схема №3. Сборка и установка стеллажей серии МС-750 в проектное положение на 18-ом этаже корпуса К1 в помещении Т.3.</t>
  </si>
  <si>
    <t>17/ЧБ-п/К1/ТХ1-21/19-МШ</t>
  </si>
  <si>
    <t>Исполнительная схема №1. Сборка и установка архивных шкафов серии ШАМ в проектное положение на 19-ом этаже корпуса К1 в помещении 36.</t>
  </si>
  <si>
    <t>Исполнительная схема №2. Сборка и установка стеллажей серии МС-750 в проектное положение на 19-ом этаже корпуса К1 в помещении Т.4.</t>
  </si>
  <si>
    <t>Акт монтажа оборудования на сборку и установка разборного металлического шкафа серии ШАМ-11-500, ШАМ-0,5-500 в проектное положение на 11-ом этаже в помещениях 29, 41, 42 и металлического стеллажа серии МС-750 в помещении Ф.9 корпуса К1.</t>
  </si>
  <si>
    <t>Акт монтажа оборудования на сборку и установка разборного металлического шкафа серии ШАМ-11-500, ШАМ-0,5-500 в проектное положение на 12-ом этаже в помещении 36 и металлического стеллажа серии МС-750 в помещении Т.3 корпуса К1.</t>
  </si>
  <si>
    <t>Акт монтажа оборудования на сборку и установка разборного металлического шкафа серии ШАМ-11-500, ШАМ-0,5-500 в проектное положение на 13-ом этаже в помещениях 10, 13  и металлического стеллажа серии МС-750 в помещении 48 корпуса К1.</t>
  </si>
  <si>
    <t>Акт монтажа оборудования на сборку и установка металлического стеллажа серии МС-750 на 13-ом этаже в помещении Т.5 корпуса К1 в проектное положение.</t>
  </si>
  <si>
    <t>Акт монтажа оборудования на сборку и установка разборного металлического шкафа серии ШАМ-11-500, ШАМ-0,5-500 в проектное положение на 14-ом этаже в помещениях  12 и 34 и металлического стеллажа серии МС-750 в помещении Ф.6 корпуса К1.</t>
  </si>
  <si>
    <t>Акт монтажа оборудования на сборку и установка разборного металлического шкафа серии ШАМ-11-500, ШАМ-0,5-500 в проектное положение на 15-ом этаже в помещениях  09, 49, 58, 59, 60 корпуса К1.</t>
  </si>
  <si>
    <t>Акт монтажа оборудования на сборку и установка стеллажа серии МС-750 в проектное положение на 15-ом этаже в помещении  Т.3 корпуса К1.</t>
  </si>
  <si>
    <t>Акт монтажа оборудования на сборку и установка разборного металлического шкафа серии ШАМ-11-500, ШАМ-0,5-500 в проектное положение на 16-ом этаже в помещении 49 и металлическкого стеллажа серии МС-750 в помещении Т.3 корпуса К1.</t>
  </si>
  <si>
    <t>Акт монтажа оборудования на сборку и установка разборного металлического шкафа серии ШАМ-11-500, ШАМ-0,5-500 в проектное положение на 17-ом этаже в помещениях 07, 49, 29  и металлического стеллажа серии МС-750 в помещении 29 корпуса К1.</t>
  </si>
  <si>
    <t>Акт монтажа оборудования на сборку и установка металлического стеллажа серии МС-750 на 17-ом этаже в помещении Т.3 корпуса К1 в проектное положение.</t>
  </si>
  <si>
    <t>Акт монтажа оборудования на сборку и установка разборного металлического шкафа серии ШАМ-11-500, ШАМ-0,5-500  и металлических стеллажей серии МС-750 в проектное положение на 18-ом этаже в помещениях 39, 45, 62 и Т.3 корпуса К1.</t>
  </si>
  <si>
    <t>Акт монтажа оборудования на сборку и установка разборного металлического шкафа серии ШАМ-11-500 и ШАМ-0,5-500 в проектное положение на 19-ом этаже в помещении 36 и металлического стеллажа серии МС-750 в помещениях Т.4 корпуса К1.</t>
  </si>
  <si>
    <t xml:space="preserve">Реестр включает в себя 411 листа. </t>
  </si>
  <si>
    <t>РЕЕСТР ИСПОЛНИТЕЛЬНОЙ ДОКУМЕНТАЦИИ № 9.31</t>
  </si>
  <si>
    <t>с 14.08.2022г. по 14.09.2022г.</t>
  </si>
  <si>
    <t>Монтаж фальшпола и финишного покрытия в ЭКСПО-ЗОНЕ корпуса К1</t>
  </si>
  <si>
    <t>14.08.2022г. - 16.08.2022г.</t>
  </si>
  <si>
    <t>Исполнительная схема №1. Устройтво обеспыливания бетонной поверхности пола Тип 1, Тип 2 и Тип 3 в помещении 01.Э.1 1-го этажа корпуса К1.</t>
  </si>
  <si>
    <t>16.08.2022г.</t>
  </si>
  <si>
    <t>К-ЦЖ/122021/РТС-К1-АС</t>
  </si>
  <si>
    <t>№2/ЧБ-п/К1/АС-ГР</t>
  </si>
  <si>
    <t>Акт освидетельствования скрытых работ Устройтво грунтования бетонной поверхности пола Тип 1, Тип 2 и Тип 3 в помещении 01.Э.1 1-го этажа корпуса К1</t>
  </si>
  <si>
    <t>16.08.2022г. - 18.08.2022г.</t>
  </si>
  <si>
    <t>Исполнительная схема №2. Устройтво грунтования бетонной поверхности пола Тип 1, Тип 2 и Тип 3 01.Э.1 1-го этажа корпуса К1.</t>
  </si>
  <si>
    <t>18.08.2022г.</t>
  </si>
  <si>
    <t>№ RU.23.KK.08.015.E.000870.07.16</t>
  </si>
  <si>
    <r>
      <t xml:space="preserve">Принял: представитель Технического заказчика  </t>
    </r>
    <r>
      <rPr>
        <u/>
        <sz val="12"/>
        <rFont val="Times New Roman"/>
        <family val="1"/>
        <charset val="204"/>
      </rPr>
      <t xml:space="preserve">Ведущий инженер отдела технического заказчика ООО "РТ-ДТЗ"  Звягинцева О. В.                                                                                                                                                </t>
    </r>
  </si>
  <si>
    <r>
      <t xml:space="preserve">Сдал: представитель Генерального подрядчика  </t>
    </r>
    <r>
      <rPr>
        <u/>
        <sz val="12"/>
        <rFont val="Times New Roman"/>
        <family val="1"/>
        <charset val="204"/>
      </rPr>
      <t xml:space="preserve">Ведущий инженер АО "КРОКУС" Каграманов В.А.                                                                                                ___________________________                                                </t>
    </r>
  </si>
  <si>
    <t>РЕЕСТР ИСПОЛНИТЕЛЬНОЙ ДОКУМЕНТАЦИИ №К1.1</t>
  </si>
  <si>
    <t>Акт освидетельствования скрытых работ на устройтво обеспыливания бетонной поверхности пола Тип 1, Тип 2 и Тип 3 в помещении 01.Э.1 1-го этажа корпуса К1</t>
  </si>
  <si>
    <t>Информационное письмо на универсальную грунтовку EUROPRIMER MULTI 044</t>
  </si>
  <si>
    <t>Свидетельство о государственной регистрации на универсальную грунтовку EUROPRIMER MULTI 044</t>
  </si>
  <si>
    <t>№ ИВ-384-213</t>
  </si>
  <si>
    <t>№1/ЧБ-п/К1/АС/1-ОБС</t>
  </si>
  <si>
    <t>Реестр применяемых материалов</t>
  </si>
  <si>
    <t>Кол-во листов (включая приложения), шт</t>
  </si>
  <si>
    <t>Реестр состоит из</t>
  </si>
  <si>
    <t>страниц</t>
  </si>
  <si>
    <t xml:space="preserve"> </t>
  </si>
  <si>
    <t>В3</t>
  </si>
  <si>
    <t xml:space="preserve">Сдал: представитель Генерального подрядчика  Ведущий инженер АО "КРОКУС" Каграманов В. А.                                                                                                                                              </t>
  </si>
  <si>
    <t xml:space="preserve">Принял: представитель Технического заказчика  Ведущий инженер отдела технического заказчика ООО «РТ-ДТЗ» Канительщиков А.А.  </t>
  </si>
  <si>
    <t xml:space="preserve">лист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</si>
  <si>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</si>
  <si>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</si>
  <si>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</si>
  <si>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</si>
  <si>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</si>
  <si>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</si>
  <si>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</si>
  <si>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</si>
  <si>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</si>
  <si>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</si>
  <si>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</si>
  <si>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</si>
  <si>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</si>
  <si>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</si>
  <si>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</si>
  <si>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</si>
  <si>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</si>
  <si>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</si>
  <si>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</si>
  <si>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</si>
  <si>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</si>
  <si>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</si>
  <si>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</si>
  <si>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</si>
  <si>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</si>
  <si>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</si>
  <si>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</si>
  <si>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</si>
  <si>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</si>
  <si>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</si>
  <si>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Сертификаты соответствия, паспорта и других документов на применяемые материалов и изделий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</si>
  <si>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</si>
  <si>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</si>
  <si>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</si>
  <si>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</si>
  <si>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</si>
  <si>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</si>
  <si>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</si>
  <si>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</si>
  <si>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</si>
  <si>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</si>
  <si>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</si>
  <si>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</si>
  <si>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</si>
  <si>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</si>
  <si>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</si>
  <si>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</si>
  <si>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</si>
  <si>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</si>
  <si>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</si>
  <si>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</si>
  <si>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</si>
  <si>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</si>
  <si>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</si>
  <si>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</si>
  <si>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</si>
  <si>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</si>
  <si>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</si>
  <si>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</si>
  <si>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</si>
  <si>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</si>
  <si>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</si>
  <si>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</si>
  <si>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</si>
  <si>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</si>
  <si>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</si>
  <si>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</si>
  <si>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</si>
  <si>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</si>
  <si>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</si>
  <si>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№ ЮАЧ1.RU.1406.Н.00200</t>
  </si>
  <si>
    <t>№ РОСС RU.0С37.001707</t>
  </si>
  <si>
    <t>№ KG.11.01.09.013.Е.004852.10.21</t>
  </si>
  <si>
    <t>№ 13-04-244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</si>
  <si>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</si>
  <si>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</si>
  <si>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</si>
  <si>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</si>
  <si>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</si>
  <si>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</si>
  <si>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</si>
  <si>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</si>
  <si>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</si>
  <si>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</si>
  <si>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</si>
  <si>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</si>
  <si>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</si>
  <si>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</si>
  <si>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</si>
  <si>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</si>
  <si>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</si>
  <si>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</si>
  <si>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№426</t>
  </si>
  <si>
    <t>№14</t>
  </si>
  <si>
    <t>№ 4 941</t>
  </si>
  <si>
    <t>№ РОСС RU.32001.04ИБФ1.ОСП28.67541</t>
  </si>
  <si>
    <t>№ KG.11.01.09.008.Е.003761.08.21</t>
  </si>
  <si>
    <t>№ 07037</t>
  </si>
  <si>
    <t>№ АЛ-22/11-0189</t>
  </si>
  <si>
    <t>№ 5 306</t>
  </si>
  <si>
    <t>№ РОСС RU Д-RU.РА01.В.51347/23</t>
  </si>
  <si>
    <t>№ ПТ-23/12-0732</t>
  </si>
  <si>
    <t>26.12.2024
25.12.2025</t>
  </si>
  <si>
    <t>15.12.2023
14.12.2026</t>
  </si>
  <si>
    <t>№ 388.1</t>
  </si>
  <si>
    <t>№ BY/112 11.01.ТР032 056.01 00694</t>
  </si>
  <si>
    <t>ЕАЭС RU С-RU.АБ53.В.03442/22</t>
  </si>
  <si>
    <t>№ 20-088-200772-24</t>
  </si>
  <si>
    <t>ЕАЭС RU Д-RU.РА01.В.54297/21</t>
  </si>
  <si>
    <t>14.09.2021
13.09.2026</t>
  </si>
  <si>
    <t>04.02.2022
03.02.2027</t>
  </si>
  <si>
    <t>13.09.2021
13.09.2026</t>
  </si>
  <si>
    <t>25.11.2022
24.11.2025</t>
  </si>
  <si>
    <t>07.04.2022
06.04.2025</t>
  </si>
  <si>
    <t>№ 04ИДЮ101.RU.С05360</t>
  </si>
  <si>
    <t>28.02.2023
27.02.2026</t>
  </si>
  <si>
    <t>№ РОСС RU.32311.ОС02.СС01.3731</t>
  </si>
  <si>
    <t>03.04.2024
02.04.2029</t>
  </si>
  <si>
    <t>Сертификат соответствия на Угол Рехау, Тройник Рехау, Гильза Рехау. Коллектор Рехау.</t>
  </si>
  <si>
    <t>Технический паспорт на фиксатор</t>
  </si>
  <si>
    <t>№ РОСС RU.32001.04ИБФ1.ОСП28.48633</t>
  </si>
  <si>
    <t>№ 101-КС/816</t>
  </si>
  <si>
    <t>№ ВРL2903</t>
  </si>
  <si>
    <t>№ 2022</t>
  </si>
  <si>
    <t>№ 2125</t>
  </si>
  <si>
    <t>№ 153983</t>
  </si>
  <si>
    <t>05.03.2024
04.03.2027</t>
  </si>
  <si>
    <t>Паспорт качества на профиль</t>
  </si>
  <si>
    <t>Информационное письмо на профиль</t>
  </si>
  <si>
    <t>№ RU C-RU.ПБ09.В.00455/23</t>
  </si>
  <si>
    <t>№ 783г/2019</t>
  </si>
  <si>
    <t>№ РОСС RU.НЕ06.Н14592</t>
  </si>
  <si>
    <t>№ РОСС RU.МЛ10.Н00387</t>
  </si>
  <si>
    <t>№ RU.77.01.34.015.Е.006301.07.12</t>
  </si>
  <si>
    <t>№ 355394001-850CL020004</t>
  </si>
  <si>
    <t>27.09.2023
26.09.2028</t>
  </si>
  <si>
    <t>31.10.2023
30.10.2026</t>
  </si>
  <si>
    <t>24.03.2025
23.03.2028</t>
  </si>
  <si>
    <t>Сертификат соответствия на клей РУ-ФЛЕКС 454</t>
  </si>
  <si>
    <t>Свидетельство о государственной регистрации на клей К-флекс К-414/2,6</t>
  </si>
  <si>
    <t>Паспорт на клей К-флекс К-414/2,6</t>
  </si>
  <si>
    <t>1/В3/ВК.1/4-Г</t>
  </si>
  <si>
    <t>2/В3/ВК.1/4-У</t>
  </si>
  <si>
    <t>3/В3/ВК.1/4-Т</t>
  </si>
  <si>
    <t>4/В3/ВК.1/4-И</t>
  </si>
  <si>
    <t>5/В3/ВК.1/3-Г</t>
  </si>
  <si>
    <t>6/В3/ВК.1/3-У</t>
  </si>
  <si>
    <t>7/В3/ВК.1/3-Т</t>
  </si>
  <si>
    <t>8/В3/ВК.1/3-И</t>
  </si>
  <si>
    <t>9/В3/ВК.1/2-Г</t>
  </si>
  <si>
    <t>10/В3/ВК.1/2-У</t>
  </si>
  <si>
    <t>11/В3/ВК.1/2-Т</t>
  </si>
  <si>
    <t>12/В3/ВК.1/2-И</t>
  </si>
  <si>
    <t>13/В3/ВК.1/1-Г</t>
  </si>
  <si>
    <t>14/В3/ВК.1/1-У</t>
  </si>
  <si>
    <t>15/В3/ВК.1/1-Т</t>
  </si>
  <si>
    <t>16/В3/ВК.1/1-И</t>
  </si>
  <si>
    <t>24.02.2025г.</t>
  </si>
  <si>
    <t>17.03.2025г.</t>
  </si>
  <si>
    <t>15.04.2025г.</t>
  </si>
  <si>
    <t>11.05.2025г.</t>
  </si>
  <si>
    <t>ВВ/30032022/РТС-Р-В3-ВК</t>
  </si>
  <si>
    <t>с 08.02.2025 по 11.05.2025</t>
  </si>
  <si>
    <t>Акт освидетельствования скрытых работ. Антикоррозийная обработка гильз системы водоснабжения (В1, Т3, Т4) на 4 этаже корпуса В3</t>
  </si>
  <si>
    <t>Исполнительная схема. Антикоррозийная обработка гильз системы водоснабжения (В1, Т3, Т4) на 4 этаже корпуса В3</t>
  </si>
  <si>
    <t>Акт освидетельствования скрытых работ. Монтаж гильз в местах прохода трубопроводов системы водоснабжения (В1, Т3, Т4) через конструкции стен и перекрытий на 4 этаже корпуса В3</t>
  </si>
  <si>
    <t>Исполнительная схема. Монтаж гильз в местах прохода трубопроводов системы водоснабжения (В1, Т3, Т4) через конструкции стен и перекрытий на 4 этаже корпуса В3</t>
  </si>
  <si>
    <t>Акт освидетельствования скрытых работ. Монтаж трубопроводов системы хозяйственно-питьевого водоснабжения (В1, Т3, Т4) на 4 этаже корпуса В3</t>
  </si>
  <si>
    <t>Исполнительная схема. Монтаж трубопроводов системы хозяйственно-питьевого водоснабжения (В1, Т3, Т4) на 4 этаже корпуса В3</t>
  </si>
  <si>
    <t>Акт освидетельствования скрытых работ. Монтаж изоляции трубопроводов системы хозяйственно-питьевого водоснабжения (В1, Т3, Т4) на 4 этаже корпуса В3</t>
  </si>
  <si>
    <t>Исполнительная схема. Монтаж изоляции трубопроводов системы хозяйственно-питьевого водоснабжения (В1, Т3, Т4) на 4 этаже корпуса В3</t>
  </si>
  <si>
    <t>Акт освидетельствования скрытых работ. Антикоррозийная обработка гильз системы водоснабжения (В1, Т3, Т4) на 3 этаже корпуса В3</t>
  </si>
  <si>
    <t>Исполнительная схема. Антикоррозийная обработка гильз системы водоснабжения (В1, Т3, Т4) на 3 этаже корпуса В3</t>
  </si>
  <si>
    <t>Акт освидетельствования скрытых работ. Монтаж гильз в местах прохода трубопроводов системы водоснабжения (В1, Т3, Т4) через конструкции стен и перекрытий на 3 этаже корпуса В3</t>
  </si>
  <si>
    <t>Исполнительная схема. Монтаж гильз в местах прохода трубопроводов системы водоснабжения (В1, Т3, Т4) через конструкции стен и перекрытий на 3 этаже корпуса В3</t>
  </si>
  <si>
    <t>Акт освидетельствования скрытых работ. Монтаж трубопроводов системы хозяйственно-питьевого водоснабжения (В1, Т3, Т4) на 3 этаже корпуса В3</t>
  </si>
  <si>
    <t>Исполнительная схема. Монтаж трубопроводов системы хозяйственно-питьевого водоснабжения (В1, Т3, Т4) на 3 этаже корпуса В3</t>
  </si>
  <si>
    <t>Акт освидетельствования скрытых работ. Монтаж изоляции трубопроводов системы хозяйственно-питьевого водоснабжения (В1, Т3, Т4) на 3 этаже корпуса В3</t>
  </si>
  <si>
    <t>Исполнительная схема. Монтаж изоляции трубопроводов системы хозяйственно-питьевого водоснабжения (В1, Т3, Т4) на 3 этаже корпуса В3</t>
  </si>
  <si>
    <t>Акт освидетельствования скрытых работ. Антикоррозийная обработка гильз системы водоснабжения (В1, Т3, Т4) на 2 этаже корпуса В3</t>
  </si>
  <si>
    <t>Исполнительная схема. Антикоррозийная обработка гильз системы водоснабжения (В1, Т3, Т4) на 2 этаже корпуса В3</t>
  </si>
  <si>
    <t>Акт освидетельствования скрытых работ. Монтаж гильз в местах прохода трубопроводов системы водоснабжения (В1, Т3, Т4) через конструкции стен и перекрытий на 2 этаже корпуса В3</t>
  </si>
  <si>
    <t>Исполнительная схема. Монтаж гильз в местах прохода трубопроводов системы водоснабжения (В1, Т3, Т4) через конструкции стен и перекрытий на 2 этаже корпуса В3</t>
  </si>
  <si>
    <t>Акт освидетельствования скрытых работ. Монтаж трубопроводов системы хозяйственно-питьевого водоснабжения (В1, Т3, Т4) на 2 этаже корпуса В3</t>
  </si>
  <si>
    <t>Исполнительная схема. Монтаж трубопроводов системы хозяйственно-питьевого водоснабжения (В1, Т3, Т4) на 2 этаже корпуса В3</t>
  </si>
  <si>
    <t>Акт освидетельствования скрытых работ. Монтаж изоляции трубопроводов системы хозяйственно-питьевого водоснабжения (В1, Т3, Т4) на 2 этаже корпуса В3</t>
  </si>
  <si>
    <t>Исполнительная схема. Монтаж изоляции трубопроводов системы хозяйственно-питьевого водоснабжения (В1, Т3, Т4) на 2 этаже корпуса В3</t>
  </si>
  <si>
    <t>Акт освидетельствования скрытых работ. Антикоррозийная обработка гильз системы водоснабжения (В1, Т3, Т4) на 1 этаже корпуса В3</t>
  </si>
  <si>
    <t>Исполнительная схема.Антикоррозийная обработка гильз системы водоснабжения (В1, Т3, Т4) на 1 этаже корпуса В3</t>
  </si>
  <si>
    <t>Акт освидетельствования скрытых работ.Монтаж гильз в местах прохода трубопроводов системы водоснабжения (В1, Т3, Т4) через конструкции стен и перекрытий на 1 этаже корпуса В3</t>
  </si>
  <si>
    <t>Исполнительная схема. Монтаж гильз в местах прохода трубопроводов системы водоснабжения (В1, Т3, Т4) через конструкции стен и перекрытий на 1 этаже корпуса В3</t>
  </si>
  <si>
    <t>Акт освидетельствования скрытых работ. Монтаж трубопроводов системы хозяйственно-питьевого водоснабжения (В1, Т3, Т4) на 1 этаже корпуса В3</t>
  </si>
  <si>
    <t>Исполнительная схема. Монтаж трубопроводов системы хозяйственно-питьевого водоснабжения (В1, Т3, Т4) на 1 этаже корпуса В3</t>
  </si>
  <si>
    <t>Акт освидетельствования скрытых работ. Монтаж изоляции трубопроводов системы хозяйственно-питьевого водоснабжения (В1, Т3, Т4) на 1 этаже корпуса В3</t>
  </si>
  <si>
    <t>Исполнительная схема. Монтаж изоляции трубопроводов системы хозяйственно-питьевого водоснабжения (В1, Т3, Т4) на 1 этаже корпуса В3</t>
  </si>
  <si>
    <t>Монтаж трубопроводов системы хозяйственно-питьевого водоснабжения (В1, Т3, Т4)  с  1 по 4 этаж, корпус В3</t>
  </si>
  <si>
    <t>RU.31.БО.17.008.Е.000075.07.11</t>
  </si>
  <si>
    <t>11.2024</t>
  </si>
  <si>
    <t>12.2024</t>
  </si>
  <si>
    <t>Паспорт на эмаль ПФ-115 серый</t>
  </si>
  <si>
    <t>Декларация о соответствии на эмаль ПФ-115 серый</t>
  </si>
  <si>
    <t>Свидетельство о государственной регистрации на эмаль ПФ-115 серый</t>
  </si>
  <si>
    <t>Протокол испытаний на эмаль ПФ-115 серый</t>
  </si>
  <si>
    <t>Сертификат качества на тройник ст 76х3,5 отвод ст 76х3,5</t>
  </si>
  <si>
    <t>KG.11.01.09.013.Е.001900.04.17</t>
  </si>
  <si>
    <t>Декларация о соответствии на тройник ст 76х3,5 отвод ст 76х3,5</t>
  </si>
  <si>
    <t>Свидетельство о государственной регистрации на тройник ст 76х3,5 отвод ст 76х3,5</t>
  </si>
  <si>
    <t>Сертификат качества на трубу ст ВГП 76х3,5мм</t>
  </si>
  <si>
    <t>Декларация о соответствии на трубу ст ВГП 76х3,5мм</t>
  </si>
  <si>
    <t>Сертификат соответствия на трубу ст ВГП 76х3,5мм</t>
  </si>
  <si>
    <t>Свидетельство о государственной регистрации на трубу ст ВГП 76х3,5мм</t>
  </si>
  <si>
    <t>Экспертное заключение на трубу ст ВГП 76х3,5мм</t>
  </si>
  <si>
    <t xml:space="preserve">Паспорт качества на пена огнезащитную, FBS-S </t>
  </si>
  <si>
    <t xml:space="preserve">Информационное письмо на пену огнезащитную, FBS-S </t>
  </si>
  <si>
    <t xml:space="preserve">Технический паспорт на пену огнезащитную, FBS-S </t>
  </si>
  <si>
    <t>Сертификат соответствия на манометр Росма</t>
  </si>
  <si>
    <t xml:space="preserve">Информационное письмо для настенной стойки </t>
  </si>
  <si>
    <t xml:space="preserve">Технический паспорт для настенной стойки </t>
  </si>
  <si>
    <t>Информационное письмо на шпильку резьбовой</t>
  </si>
  <si>
    <t>Паспорт качества на гайка М10, шайба М10</t>
  </si>
  <si>
    <t>2.40</t>
  </si>
  <si>
    <t>Сертификат соответствия на трубу  Ру-флекс СТ</t>
  </si>
  <si>
    <t>Экспертное заключение на трубу  Ру-флекс СТ</t>
  </si>
  <si>
    <t xml:space="preserve">РЕЕСТР ИСПОЛНИТЕЛЬНОЙ ДОКУМЕНТАЦИИ №В3.ВК.1 </t>
  </si>
  <si>
    <t>Свидетельство о государственной регистрации на грунтовку ГФ-021 красно-коричневый</t>
  </si>
  <si>
    <t>Информационное письмо на грунтовку ГФ-021 красно-коричневый</t>
  </si>
  <si>
    <t>Сертификат соответствия на грунтовку ГФ-021 красно-коричневый</t>
  </si>
  <si>
    <t>Паспорт на грунтовку ГФ-021 красно-коричневый</t>
  </si>
  <si>
    <t>Протокол испытаний на грунтовку ГФ-021 красно-коричневый</t>
  </si>
  <si>
    <t xml:space="preserve">Сертификат соответствия на трубы </t>
  </si>
  <si>
    <t>РОСС RU C-RU.НВ63Н01495</t>
  </si>
  <si>
    <t>14.09.2022 
13.09.2025</t>
  </si>
  <si>
    <t>RU.77.99.32.088.Е.000610.02.19</t>
  </si>
  <si>
    <t>Паспорт на Уайт-спирит</t>
  </si>
  <si>
    <t>Сертификат соответствия на Уайт-спирит</t>
  </si>
  <si>
    <t>Свидетельство о государственной регистрации  на Уайт-спирит</t>
  </si>
  <si>
    <t>2.41</t>
  </si>
  <si>
    <t>2.42</t>
  </si>
  <si>
    <t>Акт гидростатического испытания на герметичность.Трубопроводов внутренней системы хозяйственно-бытовой канализации в помещении 2.51. 2 этаж. (Женский санузел)</t>
  </si>
  <si>
    <t>Акт гидростатического испытания на герметичность.Трубопроводов внутренней системы хозяйственно-бытовой канализации в помещении 2.52. 2 этаж. (Мужской санузел)</t>
  </si>
  <si>
    <t>Акт гидростатического испытания на герметичность. Трубопроводов внутренней системы хозяйственно-бытового водоснабжения в помещении 3.78. 3 этаж. (Мужской санузел)</t>
  </si>
  <si>
    <t>Акт гидростатического испытания на герметичность. Трубопроводов внутренней системы хозяйственно- бытового водоснабжения в помещении 3.79. 3 этаж. (Женский санузел)</t>
  </si>
  <si>
    <t>Акт гидростатического испытания на герметичность. Трубопроводов внутренней системы хозяйственно- бытового водоснабжения в помещении 4.90. 4 этаж. (Женский санузел)</t>
  </si>
  <si>
    <t>Акт гидростатического испытания на герметичность. Трубопроводов внутренней системы хозяйственно-бытового водоснабжения в помещении 4.91. 4 этаж. (Мужской санузел)</t>
  </si>
  <si>
    <t>Акт гидростатического испытания на герметичность. Трубопроводов внутренней системы хозяйственно-бытового водоснабжения в помещении 1.13, 1.16, 1.17, 1.30, 1 этаж. (Отдельно стоящие санузлы)</t>
  </si>
  <si>
    <t>Акт гидростатического испытания на герметичность. Трубопроводов внутренней системы хозяйственно-бытового водоснабжения в помещении 1.59, 1.64, 1.51, 1.50, 1.49, 1.48, 1.47, 1.51, 1.44, 1.41, 1.39, 1.38, 1.35. 1 этаж. (ТХ - Зона столовая)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</si>
  <si>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</si>
  <si>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</si>
  <si>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</si>
  <si>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</si>
  <si>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</si>
  <si>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</si>
  <si>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</si>
  <si>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</si>
  <si>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</si>
  <si>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Акт гидростатического испытания на герметичность. Трубопроводов внутренней системы хозяйственно-бытового водоснабжения в помещении 4.05, 4.08, 4.09, 4.36, 4.37, 4.45, 4.46, 4.47. 4 этаж. (Отдельно стоящие санузлы)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</si>
</sst>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.5"/>
      <color theme="1"/>
      <name val="Times New Roman"/>
      <family val="1"/>
      <charset val="204"/>
    </font>
    <font>
      <sz val="11.5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10"/>
      <name val="Times New Roman"/>
      <family val="1"/>
      <charset val="204"/>
    </font>
    <font>
      <b/>
      <sz val="11.5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u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0" fontId="18" fillId="0" borderId="0"/>
    <xf numFmtId="0" fontId="22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3" fillId="0" borderId="0" xfId="0" applyNumberFormat="1" applyFont="1"/>
    <xf numFmtId="49" fontId="3" fillId="0" borderId="0" xfId="0" applyNumberFormat="1" applyFont="1"/>
    <xf numFmtId="0" fontId="12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2" fillId="0" borderId="0" xfId="0" applyFont="1"/>
    <xf numFmtId="14" fontId="2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4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">
    <cellStyle name="Обычный" xfId="0" builtinId="0"/>
    <cellStyle name="Обычный 2" xfId="1" xr:uid="{00000000-0005-0000-0000-000001000000}"/>
    <cellStyle name="Обычный 2 2 2" xfId="3" xr:uid="{FBEB7552-9138-4ABD-A5C5-650B7BCA2A68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2"/>
  <sheetViews>
    <sheetView tabSelected="1" view="pageBreakPreview" zoomScaleNormal="85" zoomScaleSheetLayoutView="100" workbookViewId="0">
      <selection activeCell="C66" sqref="C66"/>
    </sheetView>
  </sheetViews>
  <sheetFormatPr defaultColWidth="9.140625" defaultRowHeight="15.75" x14ac:dyDescent="0.25"/>
  <cols>
    <col min="1" max="1" width="7.42578125" style="63" customWidth="1"/>
    <col min="2" max="2" width="35.5703125" style="8" customWidth="1"/>
    <col min="3" max="3" width="87" style="19" customWidth="1"/>
    <col min="4" max="4" width="19.28515625" style="8" customWidth="1"/>
    <col min="5" max="6" width="15.140625" style="9" customWidth="1"/>
    <col min="7" max="7" width="20.7109375" style="18" customWidth="1"/>
    <col min="8" max="8" width="28.7109375" style="8" customWidth="1"/>
    <col min="9" max="9" width="9.140625" style="8"/>
    <col min="10" max="10" width="22.7109375" style="19" customWidth="1"/>
    <col min="11" max="11" width="9.140625" style="8"/>
    <col min="12" max="12" width="11.85546875" style="8" bestFit="1" customWidth="1"/>
    <col min="13" max="17" width="9.140625" style="8"/>
    <col min="18" max="16384" width="9.140625" style="16"/>
  </cols>
  <sheetData>
    <row r="1" spans="1:13" ht="15.75" customHeight="1" x14ac:dyDescent="0.25">
      <c r="A1" s="85"/>
      <c r="B1" s="85"/>
      <c r="C1" s="85"/>
      <c r="D1" s="85"/>
      <c r="E1" s="85"/>
      <c r="F1" s="85"/>
      <c r="G1" s="85"/>
      <c r="H1" s="85"/>
    </row>
    <row r="2" spans="1:13" ht="11.25" customHeight="1" x14ac:dyDescent="0.25">
      <c r="A2" s="85"/>
      <c r="B2" s="85"/>
      <c r="C2" s="85"/>
      <c r="D2" s="85"/>
      <c r="E2" s="85"/>
      <c r="F2" s="85"/>
      <c r="G2" s="85"/>
      <c r="H2" s="85"/>
    </row>
    <row r="3" spans="1:13" s="8" customFormat="1" ht="29.25" customHeight="1" x14ac:dyDescent="0.25">
      <c r="A3" s="88" t="s">
        <v>345</v>
      </c>
      <c r="B3" s="88"/>
      <c r="C3" s="88"/>
      <c r="D3" s="88"/>
      <c r="E3" s="88"/>
      <c r="F3" s="88"/>
      <c r="G3" s="88"/>
      <c r="H3" s="88"/>
      <c r="J3" s="19"/>
    </row>
    <row r="4" spans="1:13" s="8" customFormat="1" ht="15.75" customHeight="1" x14ac:dyDescent="0.25">
      <c r="A4" s="89" t="s">
        <v>0</v>
      </c>
      <c r="B4" s="89"/>
      <c r="C4" s="87" t="s">
        <v>21</v>
      </c>
      <c r="D4" s="87"/>
      <c r="E4" s="87"/>
      <c r="F4" s="87"/>
      <c r="G4" s="87"/>
      <c r="H4" s="87"/>
      <c r="J4" s="19"/>
    </row>
    <row r="5" spans="1:13" s="8" customFormat="1" ht="20.25" customHeight="1" x14ac:dyDescent="0.25">
      <c r="A5" s="89"/>
      <c r="B5" s="89"/>
      <c r="C5" s="87"/>
      <c r="D5" s="87"/>
      <c r="E5" s="87"/>
      <c r="F5" s="87"/>
      <c r="G5" s="87"/>
      <c r="H5" s="87"/>
      <c r="J5" s="19"/>
    </row>
    <row r="6" spans="1:13" s="8" customFormat="1" ht="24.75" customHeight="1" x14ac:dyDescent="0.25">
      <c r="A6" s="86" t="s">
        <v>1</v>
      </c>
      <c r="B6" s="86"/>
      <c r="C6" s="90" t="s">
        <v>19</v>
      </c>
      <c r="D6" s="90"/>
      <c r="E6" s="90"/>
      <c r="F6" s="90"/>
      <c r="G6" s="90"/>
      <c r="H6" s="90"/>
      <c r="J6" s="19"/>
    </row>
    <row r="7" spans="1:13" s="8" customFormat="1" ht="20.25" customHeight="1" x14ac:dyDescent="0.25">
      <c r="A7" s="86" t="s">
        <v>2</v>
      </c>
      <c r="B7" s="86"/>
      <c r="C7" s="90" t="s">
        <v>3</v>
      </c>
      <c r="D7" s="90"/>
      <c r="E7" s="90"/>
      <c r="F7" s="90"/>
      <c r="G7" s="90"/>
      <c r="H7" s="90"/>
      <c r="J7" s="19"/>
    </row>
    <row r="8" spans="1:13" s="8" customFormat="1" ht="33.75" customHeight="1" x14ac:dyDescent="0.25">
      <c r="A8" s="89" t="s">
        <v>4</v>
      </c>
      <c r="B8" s="89"/>
      <c r="C8" s="90" t="s">
        <v>5</v>
      </c>
      <c r="D8" s="90"/>
      <c r="E8" s="90"/>
      <c r="F8" s="90"/>
      <c r="G8" s="90"/>
      <c r="H8" s="90"/>
      <c r="J8" s="19"/>
    </row>
    <row r="9" spans="1:13" s="8" customFormat="1" ht="19.5" customHeight="1" x14ac:dyDescent="0.25">
      <c r="A9" s="89" t="s">
        <v>6</v>
      </c>
      <c r="B9" s="89"/>
      <c r="C9" s="51" t="s">
        <v>118</v>
      </c>
      <c r="D9" s="2"/>
      <c r="E9" s="2"/>
      <c r="F9" s="2"/>
      <c r="G9" s="17"/>
      <c r="H9" s="2"/>
      <c r="J9" s="19"/>
    </row>
    <row r="10" spans="1:13" s="8" customFormat="1" ht="21.75" customHeight="1" x14ac:dyDescent="0.25">
      <c r="A10" s="86" t="s">
        <v>8</v>
      </c>
      <c r="B10" s="86"/>
      <c r="C10" s="90" t="s">
        <v>284</v>
      </c>
      <c r="D10" s="90"/>
      <c r="E10" s="90"/>
      <c r="F10" s="90"/>
      <c r="G10" s="90"/>
      <c r="H10" s="90"/>
      <c r="J10" s="19"/>
    </row>
    <row r="11" spans="1:13" s="8" customFormat="1" ht="28.5" customHeight="1" x14ac:dyDescent="0.25">
      <c r="A11" s="86" t="s">
        <v>9</v>
      </c>
      <c r="B11" s="86"/>
      <c r="C11" s="87" t="s">
        <v>317</v>
      </c>
      <c r="D11" s="87"/>
      <c r="E11" s="87"/>
      <c r="F11" s="87"/>
      <c r="G11" s="87"/>
      <c r="H11" s="87"/>
      <c r="J11" s="19"/>
    </row>
    <row r="12" spans="1:13" s="8" customFormat="1" ht="63" x14ac:dyDescent="0.25">
      <c r="A12" s="59" t="s">
        <v>10</v>
      </c>
      <c r="B12" s="3" t="s">
        <v>11</v>
      </c>
      <c r="C12" s="3" t="s">
        <v>15</v>
      </c>
      <c r="D12" s="3" t="s">
        <v>20</v>
      </c>
      <c r="E12" s="4" t="s">
        <v>22</v>
      </c>
      <c r="F12" s="4" t="s">
        <v>12</v>
      </c>
      <c r="G12" s="3" t="s">
        <v>13</v>
      </c>
      <c r="H12" s="3" t="s">
        <v>14</v>
      </c>
      <c r="J12" s="19"/>
    </row>
    <row r="13" spans="1:13" s="8" customFormat="1" x14ac:dyDescent="0.25">
      <c r="A13" s="59">
        <v>1</v>
      </c>
      <c r="B13" s="3">
        <v>2</v>
      </c>
      <c r="C13" s="3">
        <v>3</v>
      </c>
      <c r="D13" s="3">
        <v>4</v>
      </c>
      <c r="E13" s="4">
        <v>5</v>
      </c>
      <c r="F13" s="4">
        <v>6</v>
      </c>
      <c r="G13" s="3">
        <v>7</v>
      </c>
      <c r="H13" s="3">
        <v>8</v>
      </c>
      <c r="J13" s="19"/>
    </row>
    <row r="14" spans="1:13" s="8" customFormat="1" ht="28.5" x14ac:dyDescent="0.25">
      <c r="A14" s="60" t="s">
        <v>122</v>
      </c>
      <c r="B14" s="42" t="s">
        <v>263</v>
      </c>
      <c r="C14" s="78" t="s">
        <v>285</v>
      </c>
      <c r="D14" s="72" t="s">
        <v>279</v>
      </c>
      <c r="E14" s="42">
        <v>1</v>
      </c>
      <c r="F14" s="42">
        <v>1</v>
      </c>
      <c r="H14" s="52" t="str">
        <f>I14&amp;J14</f>
        <v>лист 1</v>
      </c>
      <c r="I14" s="53" t="s">
        <v>121</v>
      </c>
      <c r="J14" s="54">
        <f>SUM(E14)</f>
        <v>1</v>
      </c>
      <c r="L14" s="13"/>
      <c r="M14" s="13"/>
    </row>
    <row r="15" spans="1:13" s="8" customFormat="1" ht="30" x14ac:dyDescent="0.25">
      <c r="A15" s="60" t="s">
        <v>123</v>
      </c>
      <c r="B15" s="21" t="s">
        <v>34</v>
      </c>
      <c r="C15" s="79" t="s">
        <v>286</v>
      </c>
      <c r="D15" s="40" t="s">
        <v>279</v>
      </c>
      <c r="E15" s="21">
        <v>1</v>
      </c>
      <c r="F15" s="21">
        <v>1</v>
      </c>
      <c r="G15" s="21" t="s">
        <v>283</v>
      </c>
      <c r="H15" s="53" t="str">
        <f t="shared" ref="H15:H70" si="0">I15&amp;J15</f>
        <v>лист 2</v>
      </c>
      <c r="I15" s="53" t="s">
        <v>121</v>
      </c>
      <c r="J15" s="54">
        <f>J14+E14</f>
        <v>2</v>
      </c>
      <c r="L15" s="13"/>
      <c r="M15" s="13"/>
    </row>
    <row r="16" spans="1:13" s="8" customFormat="1" x14ac:dyDescent="0.25">
      <c r="A16" s="60" t="s">
        <v>124</v>
      </c>
      <c r="B16" s="21" t="s">
        <v>24</v>
      </c>
      <c r="C16" s="79" t="s">
        <v>25</v>
      </c>
      <c r="D16" s="21" t="s">
        <v>26</v>
      </c>
      <c r="E16" s="21">
        <v>1</v>
      </c>
      <c r="F16" s="21">
        <v>1</v>
      </c>
      <c r="G16" s="21"/>
      <c r="H16" s="53" t="str">
        <f t="shared" si="0"/>
        <v>лист 3</v>
      </c>
      <c r="I16" s="53" t="s">
        <v>121</v>
      </c>
      <c r="J16" s="54">
        <f t="shared" ref="J16:J90" si="1">J15+E15</f>
        <v>3</v>
      </c>
      <c r="L16" s="13"/>
      <c r="M16" s="13"/>
    </row>
    <row r="17" spans="1:13" s="8" customFormat="1" ht="41.25" customHeight="1" x14ac:dyDescent="0.25">
      <c r="A17" s="60" t="s">
        <v>125</v>
      </c>
      <c r="B17" s="42" t="s">
        <v>264</v>
      </c>
      <c r="C17" s="43" t="s">
        <v>287</v>
      </c>
      <c r="D17" s="42" t="s">
        <v>280</v>
      </c>
      <c r="E17" s="42">
        <v>1</v>
      </c>
      <c r="F17" s="42">
        <v>1</v>
      </c>
      <c r="G17" s="21"/>
      <c r="H17" s="52" t="str">
        <f t="shared" si="0"/>
        <v>лист 4</v>
      </c>
      <c r="I17" s="53" t="s">
        <v>121</v>
      </c>
      <c r="J17" s="54">
        <f t="shared" si="1"/>
        <v>4</v>
      </c>
      <c r="L17" s="13"/>
      <c r="M17" s="13"/>
    </row>
    <row r="18" spans="1:13" s="8" customFormat="1" ht="30" x14ac:dyDescent="0.25">
      <c r="A18" s="60" t="s">
        <v>126</v>
      </c>
      <c r="B18" s="21" t="s">
        <v>34</v>
      </c>
      <c r="C18" s="28" t="s">
        <v>288</v>
      </c>
      <c r="D18" s="40" t="s">
        <v>280</v>
      </c>
      <c r="E18" s="21">
        <v>1</v>
      </c>
      <c r="F18" s="21">
        <v>1</v>
      </c>
      <c r="G18" s="21" t="s">
        <v>283</v>
      </c>
      <c r="H18" s="53" t="str">
        <f t="shared" si="0"/>
        <v>лист 5</v>
      </c>
      <c r="I18" s="53" t="s">
        <v>121</v>
      </c>
      <c r="J18" s="54">
        <f t="shared" si="1"/>
        <v>5</v>
      </c>
      <c r="L18" s="13"/>
      <c r="M18" s="13"/>
    </row>
    <row r="19" spans="1:13" s="8" customFormat="1" x14ac:dyDescent="0.25">
      <c r="A19" s="60" t="s">
        <v>127</v>
      </c>
      <c r="B19" s="21" t="s">
        <v>24</v>
      </c>
      <c r="C19" s="28" t="s">
        <v>25</v>
      </c>
      <c r="D19" s="21" t="s">
        <v>26</v>
      </c>
      <c r="E19" s="21">
        <v>1</v>
      </c>
      <c r="F19" s="21">
        <v>1</v>
      </c>
      <c r="G19" s="21"/>
      <c r="H19" s="53" t="str">
        <f t="shared" si="0"/>
        <v>лист 6</v>
      </c>
      <c r="I19" s="53" t="s">
        <v>121</v>
      </c>
      <c r="J19" s="54">
        <f t="shared" si="1"/>
        <v>6</v>
      </c>
      <c r="L19" s="13"/>
      <c r="M19" s="13"/>
    </row>
    <row r="20" spans="1:13" s="8" customFormat="1" ht="28.5" x14ac:dyDescent="0.25">
      <c r="A20" s="60" t="s">
        <v>128</v>
      </c>
      <c r="B20" s="42" t="s">
        <v>265</v>
      </c>
      <c r="C20" s="43" t="s">
        <v>289</v>
      </c>
      <c r="D20" s="42" t="s">
        <v>281</v>
      </c>
      <c r="E20" s="42">
        <v>1</v>
      </c>
      <c r="F20" s="42">
        <v>1</v>
      </c>
      <c r="G20" s="21"/>
      <c r="H20" s="52" t="str">
        <f t="shared" si="0"/>
        <v>лист 7</v>
      </c>
      <c r="I20" s="53" t="s">
        <v>121</v>
      </c>
      <c r="J20" s="54">
        <f t="shared" si="1"/>
        <v>7</v>
      </c>
      <c r="L20" s="13"/>
      <c r="M20" s="13"/>
    </row>
    <row r="21" spans="1:13" s="8" customFormat="1" ht="30" x14ac:dyDescent="0.25">
      <c r="A21" s="60" t="s">
        <v>129</v>
      </c>
      <c r="B21" s="21" t="s">
        <v>34</v>
      </c>
      <c r="C21" s="28" t="s">
        <v>290</v>
      </c>
      <c r="D21" s="40" t="s">
        <v>281</v>
      </c>
      <c r="E21" s="21">
        <v>2</v>
      </c>
      <c r="F21" s="21">
        <v>1</v>
      </c>
      <c r="G21" s="21" t="s">
        <v>283</v>
      </c>
      <c r="H21" s="53" t="str">
        <f t="shared" si="0"/>
        <v>лист 8</v>
      </c>
      <c r="I21" s="53" t="s">
        <v>121</v>
      </c>
      <c r="J21" s="54">
        <f t="shared" si="1"/>
        <v>8</v>
      </c>
      <c r="L21" s="13"/>
      <c r="M21" s="13"/>
    </row>
    <row r="22" spans="1:13" s="8" customFormat="1" x14ac:dyDescent="0.25">
      <c r="A22" s="60" t="s">
        <v>130</v>
      </c>
      <c r="B22" s="21" t="s">
        <v>24</v>
      </c>
      <c r="C22" s="28" t="s">
        <v>25</v>
      </c>
      <c r="D22" s="21" t="s">
        <v>26</v>
      </c>
      <c r="E22" s="21">
        <v>1</v>
      </c>
      <c r="F22" s="21">
        <v>1</v>
      </c>
      <c r="G22" s="21"/>
      <c r="H22" s="53" t="str">
        <f t="shared" si="0"/>
        <v>лист 10</v>
      </c>
      <c r="I22" s="53" t="s">
        <v>121</v>
      </c>
      <c r="J22" s="54">
        <f t="shared" si="1"/>
        <v>10</v>
      </c>
      <c r="L22" s="13"/>
      <c r="M22" s="13"/>
    </row>
    <row r="23" spans="1:13" s="8" customFormat="1" ht="42.75" x14ac:dyDescent="0.25">
      <c r="A23" s="60" t="s">
        <v>131</v>
      </c>
      <c r="B23" s="42" t="s">
        <v>266</v>
      </c>
      <c r="C23" s="43" t="s">
        <v>291</v>
      </c>
      <c r="D23" s="44" t="s">
        <v>282</v>
      </c>
      <c r="E23" s="42">
        <v>1</v>
      </c>
      <c r="F23" s="42">
        <v>1</v>
      </c>
      <c r="G23" s="42"/>
      <c r="H23" s="52" t="str">
        <f t="shared" si="0"/>
        <v>лист 11</v>
      </c>
      <c r="I23" s="53" t="s">
        <v>121</v>
      </c>
      <c r="J23" s="54">
        <f t="shared" si="1"/>
        <v>11</v>
      </c>
      <c r="L23" s="13"/>
      <c r="M23" s="13"/>
    </row>
    <row r="24" spans="1:13" s="8" customFormat="1" ht="30" x14ac:dyDescent="0.25">
      <c r="A24" s="60" t="s">
        <v>132</v>
      </c>
      <c r="B24" s="21" t="s">
        <v>34</v>
      </c>
      <c r="C24" s="28" t="s">
        <v>292</v>
      </c>
      <c r="D24" s="40" t="s">
        <v>282</v>
      </c>
      <c r="E24" s="21">
        <v>1</v>
      </c>
      <c r="F24" s="21">
        <v>1</v>
      </c>
      <c r="G24" s="21" t="s">
        <v>283</v>
      </c>
      <c r="H24" s="53" t="str">
        <f t="shared" si="0"/>
        <v>лист 12</v>
      </c>
      <c r="I24" s="53" t="s">
        <v>121</v>
      </c>
      <c r="J24" s="54">
        <f t="shared" si="1"/>
        <v>12</v>
      </c>
      <c r="L24" s="13"/>
      <c r="M24" s="13"/>
    </row>
    <row r="25" spans="1:13" s="8" customFormat="1" x14ac:dyDescent="0.25">
      <c r="A25" s="60" t="s">
        <v>133</v>
      </c>
      <c r="B25" s="21" t="s">
        <v>24</v>
      </c>
      <c r="C25" s="28" t="s">
        <v>25</v>
      </c>
      <c r="D25" s="21" t="s">
        <v>26</v>
      </c>
      <c r="E25" s="21">
        <v>1</v>
      </c>
      <c r="F25" s="21">
        <v>1</v>
      </c>
      <c r="G25" s="21"/>
      <c r="H25" s="53" t="str">
        <f t="shared" si="0"/>
        <v>лист 13</v>
      </c>
      <c r="I25" s="53" t="s">
        <v>121</v>
      </c>
      <c r="J25" s="54">
        <f t="shared" si="1"/>
        <v>13</v>
      </c>
      <c r="L25" s="13"/>
      <c r="M25" s="13"/>
    </row>
    <row r="26" spans="1:13" s="8" customFormat="1" ht="28.5" x14ac:dyDescent="0.25">
      <c r="A26" s="60" t="s">
        <v>134</v>
      </c>
      <c r="B26" s="42" t="s">
        <v>267</v>
      </c>
      <c r="C26" s="43" t="s">
        <v>293</v>
      </c>
      <c r="D26" s="42" t="s">
        <v>279</v>
      </c>
      <c r="E26" s="42">
        <v>1</v>
      </c>
      <c r="F26" s="42">
        <v>1</v>
      </c>
      <c r="G26" s="42"/>
      <c r="H26" s="52" t="str">
        <f t="shared" si="0"/>
        <v>лист 14</v>
      </c>
      <c r="I26" s="53" t="s">
        <v>121</v>
      </c>
      <c r="J26" s="54">
        <f t="shared" si="1"/>
        <v>14</v>
      </c>
      <c r="L26" s="13"/>
      <c r="M26" s="13"/>
    </row>
    <row r="27" spans="1:13" s="8" customFormat="1" ht="30" x14ac:dyDescent="0.25">
      <c r="A27" s="60" t="s">
        <v>135</v>
      </c>
      <c r="B27" s="21" t="s">
        <v>34</v>
      </c>
      <c r="C27" s="28" t="s">
        <v>294</v>
      </c>
      <c r="D27" s="40" t="s">
        <v>279</v>
      </c>
      <c r="E27" s="21">
        <v>1</v>
      </c>
      <c r="F27" s="21">
        <v>1</v>
      </c>
      <c r="G27" s="21" t="s">
        <v>283</v>
      </c>
      <c r="H27" s="53" t="str">
        <f t="shared" si="0"/>
        <v>лист 15</v>
      </c>
      <c r="I27" s="53" t="s">
        <v>121</v>
      </c>
      <c r="J27" s="54">
        <f t="shared" si="1"/>
        <v>15</v>
      </c>
      <c r="L27" s="13"/>
      <c r="M27" s="13"/>
    </row>
    <row r="28" spans="1:13" s="8" customFormat="1" x14ac:dyDescent="0.25">
      <c r="A28" s="60" t="s">
        <v>136</v>
      </c>
      <c r="B28" s="21" t="s">
        <v>24</v>
      </c>
      <c r="C28" s="28" t="s">
        <v>25</v>
      </c>
      <c r="D28" s="21" t="s">
        <v>26</v>
      </c>
      <c r="E28" s="21">
        <v>1</v>
      </c>
      <c r="F28" s="21">
        <v>1</v>
      </c>
      <c r="G28" s="21"/>
      <c r="H28" s="53" t="str">
        <f t="shared" si="0"/>
        <v>лист 16</v>
      </c>
      <c r="I28" s="53" t="s">
        <v>121</v>
      </c>
      <c r="J28" s="54">
        <f t="shared" si="1"/>
        <v>16</v>
      </c>
      <c r="L28" s="13"/>
      <c r="M28" s="13"/>
    </row>
    <row r="29" spans="1:13" s="8" customFormat="1" ht="42.6" customHeight="1" x14ac:dyDescent="0.25">
      <c r="A29" s="60" t="s">
        <v>137</v>
      </c>
      <c r="B29" s="42" t="s">
        <v>268</v>
      </c>
      <c r="C29" s="43" t="s">
        <v>295</v>
      </c>
      <c r="D29" s="42" t="s">
        <v>280</v>
      </c>
      <c r="E29" s="42">
        <v>1</v>
      </c>
      <c r="F29" s="42">
        <v>1</v>
      </c>
      <c r="H29" s="52" t="str">
        <f t="shared" si="0"/>
        <v>лист 17</v>
      </c>
      <c r="I29" s="53" t="s">
        <v>121</v>
      </c>
      <c r="J29" s="54">
        <f t="shared" si="1"/>
        <v>17</v>
      </c>
      <c r="L29" s="13"/>
      <c r="M29" s="13"/>
    </row>
    <row r="30" spans="1:13" s="8" customFormat="1" ht="30" x14ac:dyDescent="0.25">
      <c r="A30" s="60" t="s">
        <v>138</v>
      </c>
      <c r="B30" s="21" t="s">
        <v>34</v>
      </c>
      <c r="C30" s="28" t="s">
        <v>296</v>
      </c>
      <c r="D30" s="40" t="s">
        <v>280</v>
      </c>
      <c r="E30" s="21">
        <v>1</v>
      </c>
      <c r="F30" s="21">
        <v>1</v>
      </c>
      <c r="G30" s="21" t="s">
        <v>283</v>
      </c>
      <c r="H30" s="53" t="str">
        <f t="shared" si="0"/>
        <v>лист 18</v>
      </c>
      <c r="I30" s="53" t="s">
        <v>121</v>
      </c>
      <c r="J30" s="54">
        <f t="shared" si="1"/>
        <v>18</v>
      </c>
      <c r="L30" s="13"/>
      <c r="M30" s="13"/>
    </row>
    <row r="31" spans="1:13" s="8" customFormat="1" x14ac:dyDescent="0.25">
      <c r="A31" s="60" t="s">
        <v>139</v>
      </c>
      <c r="B31" s="21" t="s">
        <v>24</v>
      </c>
      <c r="C31" s="28" t="s">
        <v>25</v>
      </c>
      <c r="D31" s="21" t="s">
        <v>26</v>
      </c>
      <c r="E31" s="21">
        <v>1</v>
      </c>
      <c r="F31" s="21">
        <v>1</v>
      </c>
      <c r="G31" s="21"/>
      <c r="H31" s="53" t="str">
        <f t="shared" si="0"/>
        <v>лист 19</v>
      </c>
      <c r="I31" s="53" t="s">
        <v>121</v>
      </c>
      <c r="J31" s="54">
        <f t="shared" si="1"/>
        <v>19</v>
      </c>
      <c r="L31" s="13"/>
      <c r="M31" s="13"/>
    </row>
    <row r="32" spans="1:13" s="8" customFormat="1" ht="28.5" x14ac:dyDescent="0.25">
      <c r="A32" s="60" t="s">
        <v>140</v>
      </c>
      <c r="B32" s="42" t="s">
        <v>269</v>
      </c>
      <c r="C32" s="43" t="s">
        <v>297</v>
      </c>
      <c r="D32" s="42" t="s">
        <v>281</v>
      </c>
      <c r="E32" s="42">
        <v>1</v>
      </c>
      <c r="F32" s="42">
        <v>1</v>
      </c>
      <c r="G32" s="21"/>
      <c r="H32" s="52" t="str">
        <f t="shared" si="0"/>
        <v>лист 20</v>
      </c>
      <c r="I32" s="53" t="s">
        <v>121</v>
      </c>
      <c r="J32" s="54">
        <f t="shared" si="1"/>
        <v>20</v>
      </c>
      <c r="L32" s="13"/>
      <c r="M32" s="13"/>
    </row>
    <row r="33" spans="1:13" s="8" customFormat="1" ht="30" x14ac:dyDescent="0.25">
      <c r="A33" s="60" t="s">
        <v>141</v>
      </c>
      <c r="B33" s="21" t="s">
        <v>34</v>
      </c>
      <c r="C33" s="28" t="s">
        <v>298</v>
      </c>
      <c r="D33" s="40" t="s">
        <v>281</v>
      </c>
      <c r="E33" s="21">
        <v>2</v>
      </c>
      <c r="F33" s="21">
        <v>1</v>
      </c>
      <c r="G33" s="21" t="s">
        <v>283</v>
      </c>
      <c r="H33" s="53" t="str">
        <f t="shared" si="0"/>
        <v>лист 21</v>
      </c>
      <c r="I33" s="53" t="s">
        <v>121</v>
      </c>
      <c r="J33" s="54">
        <f t="shared" si="1"/>
        <v>21</v>
      </c>
      <c r="L33" s="13"/>
      <c r="M33" s="13"/>
    </row>
    <row r="34" spans="1:13" s="8" customFormat="1" x14ac:dyDescent="0.25">
      <c r="A34" s="60" t="s">
        <v>142</v>
      </c>
      <c r="B34" s="21" t="s">
        <v>24</v>
      </c>
      <c r="C34" s="28" t="s">
        <v>25</v>
      </c>
      <c r="D34" s="21" t="s">
        <v>26</v>
      </c>
      <c r="E34" s="21">
        <v>1</v>
      </c>
      <c r="F34" s="21">
        <v>1</v>
      </c>
      <c r="G34" s="21"/>
      <c r="H34" s="53" t="str">
        <f t="shared" si="0"/>
        <v>лист 23</v>
      </c>
      <c r="I34" s="53" t="s">
        <v>121</v>
      </c>
      <c r="J34" s="54">
        <f t="shared" si="1"/>
        <v>23</v>
      </c>
      <c r="L34" s="13"/>
      <c r="M34" s="13"/>
    </row>
    <row r="35" spans="1:13" s="8" customFormat="1" ht="42.75" x14ac:dyDescent="0.25">
      <c r="A35" s="60" t="s">
        <v>143</v>
      </c>
      <c r="B35" s="42" t="s">
        <v>270</v>
      </c>
      <c r="C35" s="43" t="s">
        <v>299</v>
      </c>
      <c r="D35" s="44" t="s">
        <v>282</v>
      </c>
      <c r="E35" s="42">
        <v>1</v>
      </c>
      <c r="F35" s="42">
        <v>1</v>
      </c>
      <c r="G35" s="21"/>
      <c r="H35" s="52" t="str">
        <f t="shared" si="0"/>
        <v>лист 24</v>
      </c>
      <c r="I35" s="53" t="s">
        <v>121</v>
      </c>
      <c r="J35" s="54">
        <f t="shared" si="1"/>
        <v>24</v>
      </c>
      <c r="L35" s="13"/>
      <c r="M35" s="13"/>
    </row>
    <row r="36" spans="1:13" s="8" customFormat="1" ht="30" x14ac:dyDescent="0.25">
      <c r="A36" s="60" t="s">
        <v>144</v>
      </c>
      <c r="B36" s="21" t="s">
        <v>34</v>
      </c>
      <c r="C36" s="28" t="s">
        <v>300</v>
      </c>
      <c r="D36" s="40" t="s">
        <v>282</v>
      </c>
      <c r="E36" s="21">
        <v>1</v>
      </c>
      <c r="F36" s="21">
        <v>1</v>
      </c>
      <c r="G36" s="21" t="s">
        <v>283</v>
      </c>
      <c r="H36" s="53" t="str">
        <f t="shared" si="0"/>
        <v>лист 25</v>
      </c>
      <c r="I36" s="53" t="s">
        <v>121</v>
      </c>
      <c r="J36" s="54">
        <f t="shared" si="1"/>
        <v>25</v>
      </c>
      <c r="L36" s="13"/>
      <c r="M36" s="13"/>
    </row>
    <row r="37" spans="1:13" s="8" customFormat="1" x14ac:dyDescent="0.25">
      <c r="A37" s="60" t="s">
        <v>145</v>
      </c>
      <c r="B37" s="21" t="s">
        <v>24</v>
      </c>
      <c r="C37" s="28" t="s">
        <v>25</v>
      </c>
      <c r="D37" s="21" t="s">
        <v>26</v>
      </c>
      <c r="E37" s="21">
        <v>1</v>
      </c>
      <c r="F37" s="21">
        <v>1</v>
      </c>
      <c r="G37" s="21"/>
      <c r="H37" s="53" t="str">
        <f t="shared" si="0"/>
        <v>лист 26</v>
      </c>
      <c r="I37" s="53" t="s">
        <v>121</v>
      </c>
      <c r="J37" s="54">
        <f t="shared" si="1"/>
        <v>26</v>
      </c>
      <c r="L37" s="13"/>
      <c r="M37" s="13"/>
    </row>
    <row r="38" spans="1:13" s="8" customFormat="1" ht="28.5" x14ac:dyDescent="0.25">
      <c r="A38" s="60" t="s">
        <v>146</v>
      </c>
      <c r="B38" s="42" t="s">
        <v>271</v>
      </c>
      <c r="C38" s="43" t="s">
        <v>301</v>
      </c>
      <c r="D38" s="44" t="s">
        <v>279</v>
      </c>
      <c r="E38" s="42">
        <v>1</v>
      </c>
      <c r="F38" s="42">
        <v>1</v>
      </c>
      <c r="G38" s="42"/>
      <c r="H38" s="52" t="str">
        <f t="shared" si="0"/>
        <v>лист 27</v>
      </c>
      <c r="I38" s="53" t="s">
        <v>121</v>
      </c>
      <c r="J38" s="54">
        <f t="shared" si="1"/>
        <v>27</v>
      </c>
      <c r="L38" s="13"/>
      <c r="M38" s="13"/>
    </row>
    <row r="39" spans="1:13" s="8" customFormat="1" ht="30" x14ac:dyDescent="0.25">
      <c r="A39" s="60" t="s">
        <v>147</v>
      </c>
      <c r="B39" s="21" t="s">
        <v>34</v>
      </c>
      <c r="C39" s="28" t="s">
        <v>302</v>
      </c>
      <c r="D39" s="40" t="s">
        <v>279</v>
      </c>
      <c r="E39" s="21">
        <v>1</v>
      </c>
      <c r="F39" s="21">
        <v>1</v>
      </c>
      <c r="G39" s="21" t="s">
        <v>283</v>
      </c>
      <c r="H39" s="53" t="str">
        <f t="shared" si="0"/>
        <v>лист 28</v>
      </c>
      <c r="I39" s="53" t="s">
        <v>121</v>
      </c>
      <c r="J39" s="54">
        <f t="shared" si="1"/>
        <v>28</v>
      </c>
      <c r="L39" s="13"/>
      <c r="M39" s="13"/>
    </row>
    <row r="40" spans="1:13" s="8" customFormat="1" x14ac:dyDescent="0.25">
      <c r="A40" s="60" t="s">
        <v>148</v>
      </c>
      <c r="B40" s="21" t="s">
        <v>24</v>
      </c>
      <c r="C40" s="28" t="s">
        <v>25</v>
      </c>
      <c r="D40" s="21" t="s">
        <v>26</v>
      </c>
      <c r="E40" s="21">
        <v>1</v>
      </c>
      <c r="F40" s="21">
        <v>1</v>
      </c>
      <c r="G40" s="21"/>
      <c r="H40" s="53" t="str">
        <f t="shared" si="0"/>
        <v>лист 29</v>
      </c>
      <c r="I40" s="53" t="s">
        <v>121</v>
      </c>
      <c r="J40" s="54">
        <f t="shared" si="1"/>
        <v>29</v>
      </c>
      <c r="L40" s="13"/>
      <c r="M40" s="13"/>
    </row>
    <row r="41" spans="1:13" s="8" customFormat="1" ht="42.75" x14ac:dyDescent="0.25">
      <c r="A41" s="60" t="s">
        <v>149</v>
      </c>
      <c r="B41" s="42" t="s">
        <v>272</v>
      </c>
      <c r="C41" s="43" t="s">
        <v>303</v>
      </c>
      <c r="D41" s="44" t="s">
        <v>280</v>
      </c>
      <c r="E41" s="42">
        <v>1</v>
      </c>
      <c r="F41" s="42">
        <v>1</v>
      </c>
      <c r="G41" s="42"/>
      <c r="H41" s="52" t="str">
        <f t="shared" si="0"/>
        <v>лист 30</v>
      </c>
      <c r="I41" s="53" t="s">
        <v>121</v>
      </c>
      <c r="J41" s="54">
        <f t="shared" si="1"/>
        <v>30</v>
      </c>
      <c r="L41" s="13"/>
      <c r="M41" s="13"/>
    </row>
    <row r="42" spans="1:13" s="8" customFormat="1" ht="40.5" customHeight="1" x14ac:dyDescent="0.25">
      <c r="A42" s="60" t="s">
        <v>150</v>
      </c>
      <c r="B42" s="21" t="s">
        <v>34</v>
      </c>
      <c r="C42" s="28" t="s">
        <v>304</v>
      </c>
      <c r="D42" s="40" t="s">
        <v>280</v>
      </c>
      <c r="E42" s="21">
        <v>1</v>
      </c>
      <c r="F42" s="21">
        <v>1</v>
      </c>
      <c r="G42" s="21" t="s">
        <v>283</v>
      </c>
      <c r="H42" s="53" t="str">
        <f t="shared" si="0"/>
        <v>лист 31</v>
      </c>
      <c r="I42" s="53" t="s">
        <v>121</v>
      </c>
      <c r="J42" s="54">
        <f t="shared" si="1"/>
        <v>31</v>
      </c>
      <c r="L42" s="13"/>
      <c r="M42" s="13"/>
    </row>
    <row r="43" spans="1:13" s="8" customFormat="1" x14ac:dyDescent="0.25">
      <c r="A43" s="60" t="s">
        <v>151</v>
      </c>
      <c r="B43" s="21" t="s">
        <v>24</v>
      </c>
      <c r="C43" s="28" t="s">
        <v>25</v>
      </c>
      <c r="D43" s="40" t="s">
        <v>26</v>
      </c>
      <c r="E43" s="21">
        <v>1</v>
      </c>
      <c r="F43" s="21">
        <v>1</v>
      </c>
      <c r="G43" s="21"/>
      <c r="H43" s="53" t="str">
        <f t="shared" si="0"/>
        <v>лист 32</v>
      </c>
      <c r="I43" s="53" t="s">
        <v>121</v>
      </c>
      <c r="J43" s="54">
        <f t="shared" si="1"/>
        <v>32</v>
      </c>
      <c r="L43" s="13"/>
      <c r="M43" s="13"/>
    </row>
    <row r="44" spans="1:13" s="8" customFormat="1" ht="28.5" x14ac:dyDescent="0.25">
      <c r="A44" s="60" t="s">
        <v>196</v>
      </c>
      <c r="B44" s="42" t="s">
        <v>273</v>
      </c>
      <c r="C44" s="43" t="s">
        <v>305</v>
      </c>
      <c r="D44" s="44" t="s">
        <v>281</v>
      </c>
      <c r="E44" s="42">
        <v>1</v>
      </c>
      <c r="F44" s="42">
        <v>1</v>
      </c>
      <c r="G44" s="21"/>
      <c r="H44" s="52" t="str">
        <f t="shared" si="0"/>
        <v>лист 33</v>
      </c>
      <c r="I44" s="53" t="s">
        <v>121</v>
      </c>
      <c r="J44" s="54">
        <f t="shared" si="1"/>
        <v>33</v>
      </c>
      <c r="L44" s="13"/>
      <c r="M44" s="13"/>
    </row>
    <row r="45" spans="1:13" s="8" customFormat="1" ht="30" x14ac:dyDescent="0.25">
      <c r="A45" s="60" t="s">
        <v>197</v>
      </c>
      <c r="B45" s="21" t="s">
        <v>34</v>
      </c>
      <c r="C45" s="28" t="s">
        <v>306</v>
      </c>
      <c r="D45" s="40" t="s">
        <v>281</v>
      </c>
      <c r="E45" s="21">
        <v>2</v>
      </c>
      <c r="F45" s="21">
        <v>1</v>
      </c>
      <c r="G45" s="21" t="s">
        <v>283</v>
      </c>
      <c r="H45" s="53" t="str">
        <f t="shared" si="0"/>
        <v>лист 34</v>
      </c>
      <c r="I45" s="53" t="s">
        <v>121</v>
      </c>
      <c r="J45" s="54">
        <f t="shared" si="1"/>
        <v>34</v>
      </c>
      <c r="L45" s="13"/>
      <c r="M45" s="13"/>
    </row>
    <row r="46" spans="1:13" s="8" customFormat="1" x14ac:dyDescent="0.25">
      <c r="A46" s="60" t="s">
        <v>198</v>
      </c>
      <c r="B46" s="21" t="s">
        <v>24</v>
      </c>
      <c r="C46" s="28" t="s">
        <v>25</v>
      </c>
      <c r="D46" s="40" t="s">
        <v>26</v>
      </c>
      <c r="E46" s="21">
        <v>1</v>
      </c>
      <c r="F46" s="21">
        <v>1</v>
      </c>
      <c r="G46" s="21"/>
      <c r="H46" s="53" t="str">
        <f t="shared" si="0"/>
        <v>лист 36</v>
      </c>
      <c r="I46" s="53" t="s">
        <v>121</v>
      </c>
      <c r="J46" s="54">
        <f t="shared" si="1"/>
        <v>36</v>
      </c>
      <c r="L46" s="13"/>
      <c r="M46" s="13"/>
    </row>
    <row r="47" spans="1:13" s="8" customFormat="1" ht="42.75" x14ac:dyDescent="0.25">
      <c r="A47" s="60" t="s">
        <v>199</v>
      </c>
      <c r="B47" s="42" t="s">
        <v>274</v>
      </c>
      <c r="C47" s="43" t="s">
        <v>307</v>
      </c>
      <c r="D47" s="44" t="s">
        <v>282</v>
      </c>
      <c r="E47" s="42">
        <v>1</v>
      </c>
      <c r="F47" s="42">
        <v>1</v>
      </c>
      <c r="G47" s="21"/>
      <c r="H47" s="52" t="str">
        <f t="shared" si="0"/>
        <v>лист 37</v>
      </c>
      <c r="I47" s="53" t="s">
        <v>121</v>
      </c>
      <c r="J47" s="54">
        <f t="shared" si="1"/>
        <v>37</v>
      </c>
      <c r="L47" s="13"/>
      <c r="M47" s="13"/>
    </row>
    <row r="48" spans="1:13" s="8" customFormat="1" ht="30" x14ac:dyDescent="0.25">
      <c r="A48" s="60" t="s">
        <v>200</v>
      </c>
      <c r="B48" s="21" t="s">
        <v>34</v>
      </c>
      <c r="C48" s="28" t="s">
        <v>308</v>
      </c>
      <c r="D48" s="40" t="s">
        <v>282</v>
      </c>
      <c r="E48" s="21">
        <v>1</v>
      </c>
      <c r="F48" s="21">
        <v>1</v>
      </c>
      <c r="G48" s="21" t="s">
        <v>283</v>
      </c>
      <c r="H48" s="53" t="str">
        <f t="shared" si="0"/>
        <v>лист 38</v>
      </c>
      <c r="I48" s="53" t="s">
        <v>121</v>
      </c>
      <c r="J48" s="54">
        <f t="shared" si="1"/>
        <v>38</v>
      </c>
      <c r="L48" s="13"/>
      <c r="M48" s="13"/>
    </row>
    <row r="49" spans="1:13" s="8" customFormat="1" x14ac:dyDescent="0.25">
      <c r="A49" s="60" t="s">
        <v>201</v>
      </c>
      <c r="B49" s="21" t="s">
        <v>24</v>
      </c>
      <c r="C49" s="28" t="s">
        <v>25</v>
      </c>
      <c r="D49" s="40" t="s">
        <v>26</v>
      </c>
      <c r="E49" s="21">
        <v>1</v>
      </c>
      <c r="F49" s="21">
        <v>1</v>
      </c>
      <c r="G49" s="21"/>
      <c r="H49" s="53" t="str">
        <f t="shared" si="0"/>
        <v>лист 39</v>
      </c>
      <c r="I49" s="53" t="s">
        <v>121</v>
      </c>
      <c r="J49" s="54">
        <f t="shared" si="1"/>
        <v>39</v>
      </c>
      <c r="L49" s="13"/>
      <c r="M49" s="13"/>
    </row>
    <row r="50" spans="1:13" s="8" customFormat="1" ht="28.5" x14ac:dyDescent="0.25">
      <c r="A50" s="60" t="s">
        <v>202</v>
      </c>
      <c r="B50" s="42" t="s">
        <v>275</v>
      </c>
      <c r="C50" s="43" t="s">
        <v>309</v>
      </c>
      <c r="D50" s="44" t="s">
        <v>279</v>
      </c>
      <c r="E50" s="42">
        <v>1</v>
      </c>
      <c r="F50" s="42">
        <v>1</v>
      </c>
      <c r="G50" s="21"/>
      <c r="H50" s="52" t="str">
        <f t="shared" si="0"/>
        <v>лист 40</v>
      </c>
      <c r="I50" s="53" t="s">
        <v>121</v>
      </c>
      <c r="J50" s="54">
        <f t="shared" si="1"/>
        <v>40</v>
      </c>
      <c r="L50" s="13"/>
      <c r="M50" s="13"/>
    </row>
    <row r="51" spans="1:13" s="8" customFormat="1" ht="30" x14ac:dyDescent="0.25">
      <c r="A51" s="60" t="s">
        <v>203</v>
      </c>
      <c r="B51" s="21" t="s">
        <v>34</v>
      </c>
      <c r="C51" s="28" t="s">
        <v>310</v>
      </c>
      <c r="D51" s="40" t="s">
        <v>279</v>
      </c>
      <c r="E51" s="21">
        <v>1</v>
      </c>
      <c r="F51" s="21">
        <v>1</v>
      </c>
      <c r="G51" s="21" t="s">
        <v>283</v>
      </c>
      <c r="H51" s="53" t="str">
        <f t="shared" si="0"/>
        <v>лист 41</v>
      </c>
      <c r="I51" s="53" t="s">
        <v>121</v>
      </c>
      <c r="J51" s="54">
        <f t="shared" si="1"/>
        <v>41</v>
      </c>
      <c r="L51" s="13"/>
      <c r="M51" s="13"/>
    </row>
    <row r="52" spans="1:13" s="8" customFormat="1" x14ac:dyDescent="0.25">
      <c r="A52" s="60" t="s">
        <v>204</v>
      </c>
      <c r="B52" s="21" t="s">
        <v>24</v>
      </c>
      <c r="C52" s="28" t="s">
        <v>25</v>
      </c>
      <c r="D52" s="21" t="s">
        <v>26</v>
      </c>
      <c r="E52" s="21">
        <v>1</v>
      </c>
      <c r="F52" s="21">
        <v>1</v>
      </c>
      <c r="G52" s="21"/>
      <c r="H52" s="53" t="str">
        <f t="shared" si="0"/>
        <v>лист 42</v>
      </c>
      <c r="I52" s="53" t="s">
        <v>121</v>
      </c>
      <c r="J52" s="54">
        <f t="shared" si="1"/>
        <v>42</v>
      </c>
      <c r="L52" s="13"/>
      <c r="M52" s="13"/>
    </row>
    <row r="53" spans="1:13" s="8" customFormat="1" ht="53.45" customHeight="1" x14ac:dyDescent="0.25">
      <c r="A53" s="60" t="s">
        <v>205</v>
      </c>
      <c r="B53" s="42" t="s">
        <v>276</v>
      </c>
      <c r="C53" s="43" t="s">
        <v>311</v>
      </c>
      <c r="D53" s="44" t="s">
        <v>280</v>
      </c>
      <c r="E53" s="42">
        <v>1</v>
      </c>
      <c r="F53" s="42">
        <v>1</v>
      </c>
      <c r="G53" s="21"/>
      <c r="H53" s="52" t="str">
        <f t="shared" si="0"/>
        <v>лист 43</v>
      </c>
      <c r="I53" s="53" t="s">
        <v>121</v>
      </c>
      <c r="J53" s="54">
        <f t="shared" si="1"/>
        <v>43</v>
      </c>
      <c r="L53" s="13"/>
      <c r="M53" s="13"/>
    </row>
    <row r="54" spans="1:13" s="8" customFormat="1" ht="40.5" customHeight="1" x14ac:dyDescent="0.25">
      <c r="A54" s="60" t="s">
        <v>206</v>
      </c>
      <c r="B54" s="21" t="s">
        <v>34</v>
      </c>
      <c r="C54" s="28" t="s">
        <v>312</v>
      </c>
      <c r="D54" s="40" t="s">
        <v>280</v>
      </c>
      <c r="E54" s="21">
        <v>1</v>
      </c>
      <c r="F54" s="21">
        <v>1</v>
      </c>
      <c r="G54" s="21" t="s">
        <v>283</v>
      </c>
      <c r="H54" s="53" t="str">
        <f t="shared" si="0"/>
        <v>лист 44</v>
      </c>
      <c r="I54" s="53" t="s">
        <v>121</v>
      </c>
      <c r="J54" s="54">
        <f t="shared" si="1"/>
        <v>44</v>
      </c>
      <c r="L54" s="13"/>
      <c r="M54" s="13"/>
    </row>
    <row r="55" spans="1:13" s="8" customFormat="1" x14ac:dyDescent="0.25">
      <c r="A55" s="60" t="s">
        <v>207</v>
      </c>
      <c r="B55" s="21" t="s">
        <v>24</v>
      </c>
      <c r="C55" s="28" t="s">
        <v>25</v>
      </c>
      <c r="D55" s="40" t="s">
        <v>26</v>
      </c>
      <c r="E55" s="21">
        <v>1</v>
      </c>
      <c r="F55" s="21">
        <v>1</v>
      </c>
      <c r="G55" s="21"/>
      <c r="H55" s="53" t="str">
        <f t="shared" si="0"/>
        <v>лист 45</v>
      </c>
      <c r="I55" s="53" t="s">
        <v>121</v>
      </c>
      <c r="J55" s="54">
        <f t="shared" si="1"/>
        <v>45</v>
      </c>
      <c r="L55" s="13"/>
      <c r="M55" s="13"/>
    </row>
    <row r="56" spans="1:13" s="8" customFormat="1" ht="28.5" x14ac:dyDescent="0.25">
      <c r="A56" s="60" t="s">
        <v>208</v>
      </c>
      <c r="B56" s="42" t="s">
        <v>277</v>
      </c>
      <c r="C56" s="43" t="s">
        <v>313</v>
      </c>
      <c r="D56" s="44" t="s">
        <v>281</v>
      </c>
      <c r="E56" s="42">
        <v>1</v>
      </c>
      <c r="F56" s="42">
        <v>1</v>
      </c>
      <c r="G56" s="21"/>
      <c r="H56" s="52" t="str">
        <f t="shared" si="0"/>
        <v>лист 46</v>
      </c>
      <c r="I56" s="53" t="s">
        <v>121</v>
      </c>
      <c r="J56" s="54">
        <f t="shared" si="1"/>
        <v>46</v>
      </c>
      <c r="L56" s="13"/>
      <c r="M56" s="13"/>
    </row>
    <row r="57" spans="1:13" s="8" customFormat="1" ht="30" x14ac:dyDescent="0.25">
      <c r="A57" s="60" t="s">
        <v>209</v>
      </c>
      <c r="B57" s="21" t="s">
        <v>34</v>
      </c>
      <c r="C57" s="28" t="s">
        <v>314</v>
      </c>
      <c r="D57" s="40" t="s">
        <v>281</v>
      </c>
      <c r="E57" s="21">
        <v>2</v>
      </c>
      <c r="F57" s="21">
        <v>1</v>
      </c>
      <c r="G57" s="21" t="s">
        <v>283</v>
      </c>
      <c r="H57" s="53" t="str">
        <f t="shared" si="0"/>
        <v>лист 47</v>
      </c>
      <c r="I57" s="53" t="s">
        <v>121</v>
      </c>
      <c r="J57" s="54">
        <f t="shared" si="1"/>
        <v>47</v>
      </c>
      <c r="L57" s="13"/>
      <c r="M57" s="13"/>
    </row>
    <row r="58" spans="1:13" s="8" customFormat="1" x14ac:dyDescent="0.25">
      <c r="A58" s="60" t="s">
        <v>210</v>
      </c>
      <c r="B58" s="21" t="s">
        <v>24</v>
      </c>
      <c r="C58" s="28" t="s">
        <v>25</v>
      </c>
      <c r="D58" s="40" t="s">
        <v>26</v>
      </c>
      <c r="E58" s="21">
        <v>1</v>
      </c>
      <c r="F58" s="21">
        <v>1</v>
      </c>
      <c r="G58" s="21"/>
      <c r="H58" s="53" t="str">
        <f t="shared" si="0"/>
        <v>лист 49</v>
      </c>
      <c r="I58" s="53" t="s">
        <v>121</v>
      </c>
      <c r="J58" s="54">
        <f t="shared" si="1"/>
        <v>49</v>
      </c>
      <c r="L58" s="13"/>
      <c r="M58" s="13"/>
    </row>
    <row r="59" spans="1:13" s="70" customFormat="1" ht="42.6" customHeight="1" x14ac:dyDescent="0.25">
      <c r="A59" s="60" t="s">
        <v>211</v>
      </c>
      <c r="B59" s="42" t="s">
        <v>278</v>
      </c>
      <c r="C59" s="43" t="s">
        <v>315</v>
      </c>
      <c r="D59" s="44" t="s">
        <v>282</v>
      </c>
      <c r="E59" s="42">
        <v>1</v>
      </c>
      <c r="F59" s="42">
        <v>1</v>
      </c>
      <c r="G59" s="42"/>
      <c r="H59" s="52" t="str">
        <f t="shared" si="0"/>
        <v>лист 50</v>
      </c>
      <c r="I59" s="52" t="s">
        <v>121</v>
      </c>
      <c r="J59" s="54">
        <f t="shared" si="1"/>
        <v>50</v>
      </c>
      <c r="L59" s="71"/>
      <c r="M59" s="71"/>
    </row>
    <row r="60" spans="1:13" s="8" customFormat="1" ht="30" x14ac:dyDescent="0.25">
      <c r="A60" s="60" t="s">
        <v>212</v>
      </c>
      <c r="B60" s="21" t="s">
        <v>34</v>
      </c>
      <c r="C60" s="28" t="s">
        <v>316</v>
      </c>
      <c r="D60" s="40" t="s">
        <v>282</v>
      </c>
      <c r="E60" s="21">
        <v>1</v>
      </c>
      <c r="F60" s="21">
        <v>1</v>
      </c>
      <c r="G60" s="21" t="s">
        <v>283</v>
      </c>
      <c r="H60" s="53" t="str">
        <f t="shared" si="0"/>
        <v>лист 51</v>
      </c>
      <c r="I60" s="53" t="s">
        <v>121</v>
      </c>
      <c r="J60" s="54">
        <f t="shared" si="1"/>
        <v>51</v>
      </c>
      <c r="L60" s="13"/>
      <c r="M60" s="13"/>
    </row>
    <row r="61" spans="1:13" s="8" customFormat="1" x14ac:dyDescent="0.25">
      <c r="A61" s="60" t="s">
        <v>213</v>
      </c>
      <c r="B61" s="21" t="s">
        <v>24</v>
      </c>
      <c r="C61" s="28" t="s">
        <v>25</v>
      </c>
      <c r="D61" s="21" t="s">
        <v>26</v>
      </c>
      <c r="E61" s="21">
        <v>1</v>
      </c>
      <c r="F61" s="21">
        <v>1</v>
      </c>
      <c r="G61" s="21"/>
      <c r="H61" s="53" t="str">
        <f t="shared" si="0"/>
        <v>лист 52</v>
      </c>
      <c r="I61" s="53" t="s">
        <v>121</v>
      </c>
      <c r="J61" s="54">
        <f t="shared" si="1"/>
        <v>52</v>
      </c>
      <c r="L61" s="13"/>
      <c r="M61" s="13"/>
    </row>
    <row r="62" spans="1:13" s="8" customFormat="1" ht="42.75" x14ac:dyDescent="0.25">
      <c r="A62" s="60" t="s">
        <v>368</v>
      </c>
      <c r="B62" s="42" t="s">
        <v>34</v>
      </c>
      <c r="C62" s="43" t="s">
        <v>360</v>
      </c>
      <c r="D62" s="44">
        <v>45769</v>
      </c>
      <c r="E62" s="42">
        <v>1</v>
      </c>
      <c r="F62" s="42">
        <v>1</v>
      </c>
      <c r="G62" s="42"/>
      <c r="H62" s="52" t="str">
        <f t="shared" si="0"/>
        <v>лист 53</v>
      </c>
      <c r="I62" s="53" t="s">
        <v>121</v>
      </c>
      <c r="J62" s="54">
        <f t="shared" si="1"/>
        <v>53</v>
      </c>
      <c r="L62" s="13"/>
      <c r="M62" s="13"/>
    </row>
    <row r="63" spans="1:13" s="8" customFormat="1" ht="42.75" x14ac:dyDescent="0.25">
      <c r="A63" s="60" t="s">
        <v>369</v>
      </c>
      <c r="B63" s="42" t="s">
        <v>34</v>
      </c>
      <c r="C63" s="43" t="s">
        <v>361</v>
      </c>
      <c r="D63" s="44">
        <v>45769</v>
      </c>
      <c r="E63" s="42">
        <v>1</v>
      </c>
      <c r="F63" s="42">
        <v>1</v>
      </c>
      <c r="G63" s="42"/>
      <c r="H63" s="52" t="str">
        <f t="shared" si="0"/>
        <v>лист 54</v>
      </c>
      <c r="I63" s="53" t="s">
        <v>121</v>
      </c>
      <c r="J63" s="54">
        <f t="shared" si="1"/>
        <v>54</v>
      </c>
      <c r="L63" s="13"/>
      <c r="M63" s="13"/>
    </row>
    <row r="64" spans="1:13" s="8" customFormat="1" ht="42.75" x14ac:dyDescent="0.25">
      <c r="A64" s="60" t="s">
        <v>370</v>
      </c>
      <c r="B64" s="42" t="s">
        <v>34</v>
      </c>
      <c r="C64" s="43" t="s">
        <v>362</v>
      </c>
      <c r="D64" s="44">
        <v>45770</v>
      </c>
      <c r="E64" s="42">
        <v>1</v>
      </c>
      <c r="F64" s="42">
        <v>1</v>
      </c>
      <c r="G64" s="42"/>
      <c r="H64" s="52" t="str">
        <f t="shared" si="0"/>
        <v>лист 55</v>
      </c>
      <c r="I64" s="53" t="s">
        <v>121</v>
      </c>
      <c r="J64" s="54">
        <f t="shared" si="1"/>
        <v>55</v>
      </c>
      <c r="L64" s="13"/>
      <c r="M64" s="13"/>
    </row>
    <row r="65" spans="1:13" s="8" customFormat="1" ht="42.75" x14ac:dyDescent="0.25">
      <c r="A65" s="60" t="s">
        <v>371</v>
      </c>
      <c r="B65" s="42" t="s">
        <v>34</v>
      </c>
      <c r="C65" s="43" t="s">
        <v>363</v>
      </c>
      <c r="D65" s="44">
        <v>45770</v>
      </c>
      <c r="E65" s="42">
        <v>1</v>
      </c>
      <c r="F65" s="42">
        <v>1</v>
      </c>
      <c r="G65" s="42"/>
      <c r="H65" s="52" t="str">
        <f t="shared" si="0"/>
        <v>лист 56</v>
      </c>
      <c r="I65" s="53" t="s">
        <v>121</v>
      </c>
      <c r="J65" s="54">
        <f t="shared" si="1"/>
        <v>56</v>
      </c>
      <c r="L65" s="13"/>
      <c r="M65" s="13"/>
    </row>
    <row r="66" spans="1:13" s="8" customFormat="1" ht="42.75" x14ac:dyDescent="0.25">
      <c r="A66" s="60" t="s">
        <v>372</v>
      </c>
      <c r="B66" s="42" t="s">
        <v>34</v>
      </c>
      <c r="C66" s="43" t="s">
        <v>364</v>
      </c>
      <c r="D66" s="44">
        <v>45770</v>
      </c>
      <c r="E66" s="42">
        <v>1</v>
      </c>
      <c r="F66" s="42">
        <v>1</v>
      </c>
      <c r="G66" s="42"/>
      <c r="H66" s="52" t="str">
        <f t="shared" si="0"/>
        <v>лист 57</v>
      </c>
      <c r="I66" s="53" t="s">
        <v>121</v>
      </c>
      <c r="J66" s="54">
        <f t="shared" si="1"/>
        <v>57</v>
      </c>
      <c r="L66" s="13"/>
      <c r="M66" s="13"/>
    </row>
    <row r="67" spans="1:13" s="8" customFormat="1" ht="42.75" x14ac:dyDescent="0.25">
      <c r="A67" s="60" t="s">
        <v>373</v>
      </c>
      <c r="B67" s="42" t="s">
        <v>34</v>
      </c>
      <c r="C67" s="43" t="s">
        <v>365</v>
      </c>
      <c r="D67" s="44">
        <v>45770</v>
      </c>
      <c r="E67" s="42">
        <v>1</v>
      </c>
      <c r="F67" s="42">
        <v>1</v>
      </c>
      <c r="G67" s="42"/>
      <c r="H67" s="52" t="str">
        <f t="shared" si="0"/>
        <v>лист 58</v>
      </c>
      <c r="I67" s="53" t="s">
        <v>121</v>
      </c>
      <c r="J67" s="54">
        <f t="shared" si="1"/>
        <v>58</v>
      </c>
      <c r="L67" s="13"/>
      <c r="M67" s="13"/>
    </row>
    <row r="68" spans="1:13" s="8" customFormat="1" ht="42.75" x14ac:dyDescent="0.25">
      <c r="A68" s="60" t="s">
        <v>374</v>
      </c>
      <c r="B68" s="42" t="s">
        <v>34</v>
      </c>
      <c r="C68" s="43" t="s">
        <v>377</v>
      </c>
      <c r="D68" s="44">
        <v>45798</v>
      </c>
      <c r="E68" s="42">
        <v>1</v>
      </c>
      <c r="F68" s="42">
        <v>1</v>
      </c>
      <c r="G68" s="42"/>
      <c r="H68" s="52" t="str">
        <f t="shared" si="0"/>
        <v>лист 59</v>
      </c>
      <c r="I68" s="53" t="s">
        <v>121</v>
      </c>
      <c r="J68" s="54">
        <f t="shared" si="1"/>
        <v>59</v>
      </c>
      <c r="L68" s="13"/>
      <c r="M68" s="13"/>
    </row>
    <row r="69" spans="1:13" s="8" customFormat="1" ht="42.75" x14ac:dyDescent="0.25">
      <c r="A69" s="60" t="s">
        <v>375</v>
      </c>
      <c r="B69" s="42" t="s">
        <v>34</v>
      </c>
      <c r="C69" s="43" t="s">
        <v>366</v>
      </c>
      <c r="D69" s="44">
        <v>45800</v>
      </c>
      <c r="E69" s="42">
        <v>1</v>
      </c>
      <c r="F69" s="42">
        <v>1</v>
      </c>
      <c r="G69" s="42"/>
      <c r="H69" s="52" t="str">
        <f t="shared" si="0"/>
        <v>лист 60</v>
      </c>
      <c r="I69" s="53" t="s">
        <v>121</v>
      </c>
      <c r="J69" s="54">
        <f t="shared" si="1"/>
        <v>60</v>
      </c>
      <c r="L69" s="13"/>
      <c r="M69" s="13"/>
    </row>
    <row r="70" spans="1:13" s="8" customFormat="1" ht="42.75" x14ac:dyDescent="0.25">
      <c r="A70" s="60" t="s">
        <v>376</v>
      </c>
      <c r="B70" s="42" t="s">
        <v>34</v>
      </c>
      <c r="C70" s="43" t="s">
        <v>367</v>
      </c>
      <c r="D70" s="44">
        <v>45803</v>
      </c>
      <c r="E70" s="42">
        <v>1</v>
      </c>
      <c r="F70" s="42">
        <v>1</v>
      </c>
      <c r="G70" s="42"/>
      <c r="H70" s="52" t="str">
        <f t="shared" si="0"/>
        <v>лист 61</v>
      </c>
      <c r="I70" s="53" t="s">
        <v>121</v>
      </c>
      <c r="J70" s="54">
        <f t="shared" si="1"/>
        <v>61</v>
      </c>
      <c r="L70" s="13"/>
      <c r="M70" s="13"/>
    </row>
    <row r="71" spans="1:13" s="8" customFormat="1" x14ac:dyDescent="0.25">
      <c r="A71" s="82" t="s">
        <v>152</v>
      </c>
      <c r="B71" s="83"/>
      <c r="C71" s="83"/>
      <c r="D71" s="83"/>
      <c r="E71" s="83"/>
      <c r="F71" s="83"/>
      <c r="G71" s="83"/>
      <c r="H71" s="84"/>
      <c r="I71" s="53" t="s">
        <v>121</v>
      </c>
      <c r="J71" s="54">
        <f t="shared" si="1"/>
        <v>62</v>
      </c>
      <c r="L71" s="13"/>
      <c r="M71" s="13"/>
    </row>
    <row r="72" spans="1:13" s="8" customFormat="1" x14ac:dyDescent="0.25">
      <c r="A72" s="60" t="s">
        <v>153</v>
      </c>
      <c r="B72" s="23" t="s">
        <v>216</v>
      </c>
      <c r="C72" s="25" t="s">
        <v>349</v>
      </c>
      <c r="D72" s="58" t="s">
        <v>319</v>
      </c>
      <c r="E72" s="21">
        <v>1</v>
      </c>
      <c r="F72" s="21">
        <v>1</v>
      </c>
      <c r="G72" s="21"/>
      <c r="H72" s="53" t="str">
        <f t="shared" ref="H72:H113" si="2">I72&amp;J72</f>
        <v>лист 62</v>
      </c>
      <c r="I72" s="53" t="s">
        <v>121</v>
      </c>
      <c r="J72" s="54">
        <f t="shared" si="1"/>
        <v>62</v>
      </c>
      <c r="L72" s="13"/>
      <c r="M72" s="13"/>
    </row>
    <row r="73" spans="1:13" s="8" customFormat="1" ht="30" x14ac:dyDescent="0.25">
      <c r="A73" s="60" t="s">
        <v>154</v>
      </c>
      <c r="B73" s="23" t="s">
        <v>217</v>
      </c>
      <c r="C73" s="25" t="s">
        <v>348</v>
      </c>
      <c r="D73" s="58" t="s">
        <v>224</v>
      </c>
      <c r="E73" s="21">
        <v>1</v>
      </c>
      <c r="F73" s="21">
        <v>1</v>
      </c>
      <c r="G73" s="21"/>
      <c r="H73" s="53" t="str">
        <f t="shared" si="2"/>
        <v>лист 63</v>
      </c>
      <c r="I73" s="53" t="s">
        <v>121</v>
      </c>
      <c r="J73" s="54">
        <f t="shared" si="1"/>
        <v>63</v>
      </c>
      <c r="L73" s="13"/>
      <c r="M73" s="13"/>
    </row>
    <row r="74" spans="1:13" s="8" customFormat="1" x14ac:dyDescent="0.25">
      <c r="A74" s="60" t="s">
        <v>155</v>
      </c>
      <c r="B74" s="23" t="s">
        <v>218</v>
      </c>
      <c r="C74" s="25" t="s">
        <v>346</v>
      </c>
      <c r="D74" s="58">
        <v>44419</v>
      </c>
      <c r="E74" s="21">
        <v>1</v>
      </c>
      <c r="F74" s="21">
        <v>1</v>
      </c>
      <c r="G74" s="21"/>
      <c r="H74" s="53" t="str">
        <f t="shared" si="2"/>
        <v>лист 64</v>
      </c>
      <c r="I74" s="53" t="s">
        <v>121</v>
      </c>
      <c r="J74" s="54">
        <f t="shared" si="1"/>
        <v>64</v>
      </c>
      <c r="L74" s="13"/>
      <c r="M74" s="13"/>
    </row>
    <row r="75" spans="1:13" s="8" customFormat="1" x14ac:dyDescent="0.25">
      <c r="A75" s="60" t="s">
        <v>156</v>
      </c>
      <c r="B75" s="23" t="s">
        <v>219</v>
      </c>
      <c r="C75" s="25" t="s">
        <v>347</v>
      </c>
      <c r="D75" s="58">
        <v>45264</v>
      </c>
      <c r="E75" s="21">
        <v>2</v>
      </c>
      <c r="F75" s="21">
        <v>1</v>
      </c>
      <c r="G75" s="21"/>
      <c r="H75" s="53" t="str">
        <f t="shared" si="2"/>
        <v>лист 65</v>
      </c>
      <c r="I75" s="53" t="s">
        <v>121</v>
      </c>
      <c r="J75" s="54">
        <f t="shared" si="1"/>
        <v>65</v>
      </c>
      <c r="L75" s="13"/>
      <c r="M75" s="13"/>
    </row>
    <row r="76" spans="1:13" s="8" customFormat="1" x14ac:dyDescent="0.25">
      <c r="A76" s="60" t="s">
        <v>157</v>
      </c>
      <c r="B76" s="23" t="s">
        <v>220</v>
      </c>
      <c r="C76" s="25" t="s">
        <v>350</v>
      </c>
      <c r="D76" s="58">
        <v>44874</v>
      </c>
      <c r="E76" s="21">
        <v>3</v>
      </c>
      <c r="F76" s="21">
        <v>1</v>
      </c>
      <c r="G76" s="21"/>
      <c r="H76" s="53" t="str">
        <f>I76&amp;J76</f>
        <v>лист 67</v>
      </c>
      <c r="I76" s="53" t="s">
        <v>121</v>
      </c>
      <c r="J76" s="54">
        <f t="shared" si="1"/>
        <v>67</v>
      </c>
      <c r="L76" s="13"/>
      <c r="M76" s="13"/>
    </row>
    <row r="77" spans="1:13" s="8" customFormat="1" x14ac:dyDescent="0.25">
      <c r="A77" s="60" t="s">
        <v>158</v>
      </c>
      <c r="B77" s="23" t="s">
        <v>221</v>
      </c>
      <c r="C77" s="25" t="s">
        <v>321</v>
      </c>
      <c r="D77" s="58" t="s">
        <v>320</v>
      </c>
      <c r="E77" s="21">
        <v>1</v>
      </c>
      <c r="F77" s="21">
        <v>1</v>
      </c>
      <c r="G77" s="21"/>
      <c r="H77" s="53" t="str">
        <f t="shared" si="2"/>
        <v>лист 70</v>
      </c>
      <c r="I77" s="53" t="s">
        <v>121</v>
      </c>
      <c r="J77" s="54">
        <f t="shared" si="1"/>
        <v>70</v>
      </c>
      <c r="L77" s="13"/>
      <c r="M77" s="13"/>
    </row>
    <row r="78" spans="1:13" s="8" customFormat="1" ht="30" x14ac:dyDescent="0.25">
      <c r="A78" s="60" t="s">
        <v>159</v>
      </c>
      <c r="B78" s="23" t="s">
        <v>222</v>
      </c>
      <c r="C78" s="25" t="s">
        <v>322</v>
      </c>
      <c r="D78" s="58" t="s">
        <v>225</v>
      </c>
      <c r="E78" s="21">
        <v>1</v>
      </c>
      <c r="F78" s="21">
        <v>1</v>
      </c>
      <c r="G78" s="21"/>
      <c r="H78" s="53" t="str">
        <f t="shared" si="2"/>
        <v>лист 71</v>
      </c>
      <c r="I78" s="53" t="s">
        <v>121</v>
      </c>
      <c r="J78" s="54">
        <f t="shared" si="1"/>
        <v>71</v>
      </c>
      <c r="L78" s="13"/>
      <c r="M78" s="13"/>
    </row>
    <row r="79" spans="1:13" s="8" customFormat="1" x14ac:dyDescent="0.25">
      <c r="A79" s="60" t="s">
        <v>160</v>
      </c>
      <c r="B79" s="23" t="s">
        <v>318</v>
      </c>
      <c r="C79" s="25" t="s">
        <v>323</v>
      </c>
      <c r="D79" s="58">
        <v>40749</v>
      </c>
      <c r="E79" s="21">
        <v>1</v>
      </c>
      <c r="F79" s="21">
        <v>1</v>
      </c>
      <c r="G79" s="21"/>
      <c r="H79" s="53" t="str">
        <f t="shared" si="2"/>
        <v>лист 72</v>
      </c>
      <c r="I79" s="53" t="s">
        <v>121</v>
      </c>
      <c r="J79" s="54">
        <f t="shared" si="1"/>
        <v>72</v>
      </c>
      <c r="L79" s="13"/>
      <c r="M79" s="13"/>
    </row>
    <row r="80" spans="1:13" s="9" customFormat="1" x14ac:dyDescent="0.25">
      <c r="A80" s="60" t="s">
        <v>161</v>
      </c>
      <c r="B80" s="24" t="s">
        <v>223</v>
      </c>
      <c r="C80" s="26" t="s">
        <v>324</v>
      </c>
      <c r="D80" s="73">
        <v>45278</v>
      </c>
      <c r="E80" s="74">
        <v>2</v>
      </c>
      <c r="F80" s="74">
        <v>1</v>
      </c>
      <c r="G80" s="74"/>
      <c r="H80" s="75" t="str">
        <f t="shared" si="2"/>
        <v>лист 73</v>
      </c>
      <c r="I80" s="75" t="s">
        <v>121</v>
      </c>
      <c r="J80" s="54">
        <f t="shared" si="1"/>
        <v>73</v>
      </c>
      <c r="L80" s="76"/>
      <c r="M80" s="76"/>
    </row>
    <row r="81" spans="1:13" s="9" customFormat="1" x14ac:dyDescent="0.25">
      <c r="A81" s="60" t="s">
        <v>162</v>
      </c>
      <c r="B81" s="24">
        <v>24104</v>
      </c>
      <c r="C81" s="25" t="s">
        <v>355</v>
      </c>
      <c r="D81" s="77">
        <v>45566</v>
      </c>
      <c r="E81" s="23">
        <v>1</v>
      </c>
      <c r="F81" s="23">
        <v>1</v>
      </c>
      <c r="G81" s="74"/>
      <c r="H81" s="75" t="str">
        <f t="shared" si="2"/>
        <v>лист 75</v>
      </c>
      <c r="I81" s="75" t="s">
        <v>121</v>
      </c>
      <c r="J81" s="54">
        <f t="shared" si="1"/>
        <v>75</v>
      </c>
      <c r="L81" s="76"/>
      <c r="M81" s="76"/>
    </row>
    <row r="82" spans="1:13" s="9" customFormat="1" ht="30" x14ac:dyDescent="0.25">
      <c r="A82" s="60" t="s">
        <v>163</v>
      </c>
      <c r="B82" s="24" t="s">
        <v>352</v>
      </c>
      <c r="C82" s="25" t="s">
        <v>356</v>
      </c>
      <c r="D82" s="77" t="s">
        <v>353</v>
      </c>
      <c r="E82" s="23">
        <v>1</v>
      </c>
      <c r="F82" s="23">
        <v>1</v>
      </c>
      <c r="G82" s="74"/>
      <c r="H82" s="75" t="str">
        <f t="shared" si="2"/>
        <v>лист 76</v>
      </c>
      <c r="I82" s="75" t="s">
        <v>121</v>
      </c>
      <c r="J82" s="54">
        <f t="shared" si="1"/>
        <v>76</v>
      </c>
      <c r="L82" s="76"/>
      <c r="M82" s="76"/>
    </row>
    <row r="83" spans="1:13" s="9" customFormat="1" x14ac:dyDescent="0.25">
      <c r="A83" s="60" t="s">
        <v>164</v>
      </c>
      <c r="B83" s="24" t="s">
        <v>354</v>
      </c>
      <c r="C83" s="25" t="s">
        <v>357</v>
      </c>
      <c r="D83" s="77">
        <v>43514</v>
      </c>
      <c r="E83" s="23">
        <v>1</v>
      </c>
      <c r="F83" s="23">
        <v>1</v>
      </c>
      <c r="G83" s="74"/>
      <c r="H83" s="75" t="str">
        <f t="shared" si="2"/>
        <v>лист 77</v>
      </c>
      <c r="I83" s="75" t="s">
        <v>121</v>
      </c>
      <c r="J83" s="54">
        <f t="shared" si="1"/>
        <v>77</v>
      </c>
      <c r="L83" s="76"/>
      <c r="M83" s="76"/>
    </row>
    <row r="84" spans="1:13" s="8" customFormat="1" x14ac:dyDescent="0.25">
      <c r="A84" s="60" t="s">
        <v>165</v>
      </c>
      <c r="B84" s="23" t="s">
        <v>226</v>
      </c>
      <c r="C84" s="25" t="s">
        <v>325</v>
      </c>
      <c r="D84" s="58">
        <v>45665</v>
      </c>
      <c r="E84" s="21">
        <v>1</v>
      </c>
      <c r="F84" s="21">
        <v>1</v>
      </c>
      <c r="G84" s="21"/>
      <c r="H84" s="75" t="str">
        <f t="shared" si="2"/>
        <v>лист 78</v>
      </c>
      <c r="I84" s="53" t="s">
        <v>121</v>
      </c>
      <c r="J84" s="54">
        <f t="shared" si="1"/>
        <v>78</v>
      </c>
      <c r="L84" s="13"/>
      <c r="M84" s="13"/>
    </row>
    <row r="85" spans="1:13" s="8" customFormat="1" ht="30" x14ac:dyDescent="0.25">
      <c r="A85" s="60" t="s">
        <v>166</v>
      </c>
      <c r="B85" s="23" t="s">
        <v>227</v>
      </c>
      <c r="C85" s="25" t="s">
        <v>327</v>
      </c>
      <c r="D85" s="58" t="s">
        <v>231</v>
      </c>
      <c r="E85" s="21">
        <v>2</v>
      </c>
      <c r="F85" s="21">
        <v>1</v>
      </c>
      <c r="G85" s="21"/>
      <c r="H85" s="75" t="str">
        <f t="shared" si="2"/>
        <v>лист 79</v>
      </c>
      <c r="I85" s="53" t="s">
        <v>121</v>
      </c>
      <c r="J85" s="54">
        <f t="shared" si="1"/>
        <v>79</v>
      </c>
      <c r="L85" s="13"/>
      <c r="M85" s="13"/>
    </row>
    <row r="86" spans="1:13" s="8" customFormat="1" x14ac:dyDescent="0.25">
      <c r="A86" s="60" t="s">
        <v>167</v>
      </c>
      <c r="B86" s="23" t="s">
        <v>326</v>
      </c>
      <c r="C86" s="25" t="s">
        <v>328</v>
      </c>
      <c r="D86" s="58">
        <v>42853</v>
      </c>
      <c r="E86" s="21">
        <v>1</v>
      </c>
      <c r="F86" s="21">
        <v>1</v>
      </c>
      <c r="G86" s="21"/>
      <c r="H86" s="75" t="str">
        <f t="shared" si="2"/>
        <v>лист 81</v>
      </c>
      <c r="I86" s="53" t="s">
        <v>121</v>
      </c>
      <c r="J86" s="54">
        <f t="shared" si="1"/>
        <v>81</v>
      </c>
      <c r="L86" s="13"/>
      <c r="M86" s="13"/>
    </row>
    <row r="87" spans="1:13" s="8" customFormat="1" x14ac:dyDescent="0.25">
      <c r="A87" s="60" t="s">
        <v>168</v>
      </c>
      <c r="B87" s="23" t="s">
        <v>229</v>
      </c>
      <c r="C87" s="25" t="s">
        <v>329</v>
      </c>
      <c r="D87" s="58">
        <v>45620</v>
      </c>
      <c r="E87" s="23">
        <v>3</v>
      </c>
      <c r="F87" s="21">
        <v>1</v>
      </c>
      <c r="G87" s="21"/>
      <c r="H87" s="75" t="str">
        <f t="shared" si="2"/>
        <v>лист 82</v>
      </c>
      <c r="I87" s="53" t="s">
        <v>121</v>
      </c>
      <c r="J87" s="54">
        <f t="shared" si="1"/>
        <v>82</v>
      </c>
      <c r="L87" s="13"/>
      <c r="M87" s="13"/>
    </row>
    <row r="88" spans="1:13" s="8" customFormat="1" ht="30" x14ac:dyDescent="0.25">
      <c r="A88" s="60" t="s">
        <v>169</v>
      </c>
      <c r="B88" s="23" t="s">
        <v>230</v>
      </c>
      <c r="C88" s="25" t="s">
        <v>330</v>
      </c>
      <c r="D88" s="58" t="s">
        <v>233</v>
      </c>
      <c r="E88" s="23">
        <v>2</v>
      </c>
      <c r="F88" s="21">
        <v>1</v>
      </c>
      <c r="G88" s="21"/>
      <c r="H88" s="75" t="str">
        <f t="shared" si="2"/>
        <v>лист 85</v>
      </c>
      <c r="I88" s="53" t="s">
        <v>121</v>
      </c>
      <c r="J88" s="54">
        <f t="shared" si="1"/>
        <v>85</v>
      </c>
      <c r="L88" s="13"/>
      <c r="M88" s="13"/>
    </row>
    <row r="89" spans="1:13" s="8" customFormat="1" ht="30" x14ac:dyDescent="0.25">
      <c r="A89" s="60" t="s">
        <v>170</v>
      </c>
      <c r="B89" s="23" t="s">
        <v>192</v>
      </c>
      <c r="C89" s="25" t="s">
        <v>331</v>
      </c>
      <c r="D89" s="58" t="s">
        <v>234</v>
      </c>
      <c r="E89" s="23">
        <v>1</v>
      </c>
      <c r="F89" s="21">
        <v>1</v>
      </c>
      <c r="G89" s="21"/>
      <c r="H89" s="75" t="str">
        <f t="shared" si="2"/>
        <v>лист 87</v>
      </c>
      <c r="I89" s="53" t="s">
        <v>121</v>
      </c>
      <c r="J89" s="54">
        <f t="shared" si="1"/>
        <v>87</v>
      </c>
      <c r="L89" s="13"/>
      <c r="M89" s="13"/>
    </row>
    <row r="90" spans="1:13" s="8" customFormat="1" ht="30" x14ac:dyDescent="0.25">
      <c r="A90" s="60" t="s">
        <v>171</v>
      </c>
      <c r="B90" s="23" t="s">
        <v>193</v>
      </c>
      <c r="C90" s="25" t="s">
        <v>331</v>
      </c>
      <c r="D90" s="58" t="s">
        <v>235</v>
      </c>
      <c r="E90" s="23">
        <v>2</v>
      </c>
      <c r="F90" s="21">
        <v>1</v>
      </c>
      <c r="G90" s="21"/>
      <c r="H90" s="75" t="str">
        <f t="shared" si="2"/>
        <v>лист 88</v>
      </c>
      <c r="I90" s="53" t="s">
        <v>121</v>
      </c>
      <c r="J90" s="54">
        <f t="shared" si="1"/>
        <v>88</v>
      </c>
      <c r="L90" s="13"/>
      <c r="M90" s="13"/>
    </row>
    <row r="91" spans="1:13" s="8" customFormat="1" x14ac:dyDescent="0.25">
      <c r="A91" s="60" t="s">
        <v>172</v>
      </c>
      <c r="B91" s="23" t="s">
        <v>194</v>
      </c>
      <c r="C91" s="25" t="s">
        <v>332</v>
      </c>
      <c r="D91" s="58">
        <v>44476</v>
      </c>
      <c r="E91" s="23">
        <v>2</v>
      </c>
      <c r="F91" s="21">
        <v>1</v>
      </c>
      <c r="G91" s="21"/>
      <c r="H91" s="75" t="str">
        <f t="shared" si="2"/>
        <v>лист 90</v>
      </c>
      <c r="I91" s="53" t="s">
        <v>121</v>
      </c>
      <c r="J91" s="54">
        <f t="shared" ref="J91:J113" si="3">J90+E90</f>
        <v>90</v>
      </c>
      <c r="L91" s="13"/>
      <c r="M91" s="13"/>
    </row>
    <row r="92" spans="1:13" s="8" customFormat="1" x14ac:dyDescent="0.25">
      <c r="A92" s="60" t="s">
        <v>173</v>
      </c>
      <c r="B92" s="23" t="s">
        <v>195</v>
      </c>
      <c r="C92" s="25" t="s">
        <v>333</v>
      </c>
      <c r="D92" s="58">
        <v>41383</v>
      </c>
      <c r="E92" s="23">
        <v>2</v>
      </c>
      <c r="F92" s="21">
        <v>1</v>
      </c>
      <c r="G92" s="21"/>
      <c r="H92" s="75" t="str">
        <f t="shared" si="2"/>
        <v>лист 92</v>
      </c>
      <c r="I92" s="53" t="s">
        <v>121</v>
      </c>
      <c r="J92" s="54">
        <f t="shared" si="3"/>
        <v>92</v>
      </c>
      <c r="L92" s="13"/>
      <c r="M92" s="13"/>
    </row>
    <row r="93" spans="1:13" s="8" customFormat="1" x14ac:dyDescent="0.25">
      <c r="A93" s="60" t="s">
        <v>174</v>
      </c>
      <c r="B93" s="23" t="s">
        <v>214</v>
      </c>
      <c r="C93" s="25" t="s">
        <v>334</v>
      </c>
      <c r="D93" s="58">
        <v>45695</v>
      </c>
      <c r="E93" s="23">
        <v>1</v>
      </c>
      <c r="F93" s="21">
        <v>1</v>
      </c>
      <c r="G93" s="21"/>
      <c r="H93" s="75" t="str">
        <f t="shared" si="2"/>
        <v>лист 94</v>
      </c>
      <c r="I93" s="53" t="s">
        <v>121</v>
      </c>
      <c r="J93" s="54">
        <f t="shared" si="3"/>
        <v>94</v>
      </c>
      <c r="L93" s="13"/>
      <c r="M93" s="13"/>
    </row>
    <row r="94" spans="1:13" s="8" customFormat="1" x14ac:dyDescent="0.25">
      <c r="A94" s="60" t="s">
        <v>175</v>
      </c>
      <c r="B94" s="23" t="s">
        <v>215</v>
      </c>
      <c r="C94" s="25" t="s">
        <v>335</v>
      </c>
      <c r="D94" s="58">
        <v>44636</v>
      </c>
      <c r="E94" s="23">
        <v>5</v>
      </c>
      <c r="F94" s="21">
        <v>1</v>
      </c>
      <c r="G94" s="21"/>
      <c r="H94" s="75" t="str">
        <f t="shared" si="2"/>
        <v>лист 95</v>
      </c>
      <c r="I94" s="53" t="s">
        <v>121</v>
      </c>
      <c r="J94" s="54">
        <f t="shared" si="3"/>
        <v>95</v>
      </c>
      <c r="L94" s="13"/>
      <c r="M94" s="13"/>
    </row>
    <row r="95" spans="1:13" s="9" customFormat="1" x14ac:dyDescent="0.25">
      <c r="A95" s="60" t="s">
        <v>176</v>
      </c>
      <c r="B95" s="24" t="s">
        <v>34</v>
      </c>
      <c r="C95" s="26" t="s">
        <v>336</v>
      </c>
      <c r="D95" s="73" t="s">
        <v>26</v>
      </c>
      <c r="E95" s="24">
        <v>1</v>
      </c>
      <c r="F95" s="74">
        <v>1</v>
      </c>
      <c r="G95" s="74"/>
      <c r="H95" s="75" t="str">
        <f t="shared" si="2"/>
        <v>лист 100</v>
      </c>
      <c r="I95" s="75" t="s">
        <v>121</v>
      </c>
      <c r="J95" s="54">
        <f t="shared" si="3"/>
        <v>100</v>
      </c>
      <c r="L95" s="76"/>
      <c r="M95" s="76"/>
    </row>
    <row r="96" spans="1:13" s="9" customFormat="1" ht="30" x14ac:dyDescent="0.25">
      <c r="A96" s="60" t="s">
        <v>177</v>
      </c>
      <c r="B96" s="24" t="s">
        <v>236</v>
      </c>
      <c r="C96" s="26" t="s">
        <v>351</v>
      </c>
      <c r="D96" s="73" t="s">
        <v>237</v>
      </c>
      <c r="E96" s="24">
        <v>1</v>
      </c>
      <c r="F96" s="74">
        <v>1</v>
      </c>
      <c r="G96" s="74"/>
      <c r="H96" s="75" t="str">
        <f t="shared" si="2"/>
        <v>лист 101</v>
      </c>
      <c r="I96" s="75" t="s">
        <v>121</v>
      </c>
      <c r="J96" s="54">
        <f t="shared" si="3"/>
        <v>101</v>
      </c>
      <c r="L96" s="76"/>
      <c r="M96" s="76"/>
    </row>
    <row r="97" spans="1:13" s="8" customFormat="1" ht="30" x14ac:dyDescent="0.25">
      <c r="A97" s="60" t="s">
        <v>178</v>
      </c>
      <c r="B97" s="23" t="s">
        <v>238</v>
      </c>
      <c r="C97" s="25" t="s">
        <v>240</v>
      </c>
      <c r="D97" s="58" t="s">
        <v>239</v>
      </c>
      <c r="E97" s="23">
        <v>1</v>
      </c>
      <c r="F97" s="21">
        <v>1</v>
      </c>
      <c r="G97" s="21"/>
      <c r="H97" s="75" t="str">
        <f t="shared" si="2"/>
        <v>лист 102</v>
      </c>
      <c r="I97" s="53" t="s">
        <v>121</v>
      </c>
      <c r="J97" s="54">
        <f t="shared" si="3"/>
        <v>102</v>
      </c>
      <c r="L97" s="13"/>
      <c r="M97" s="13"/>
    </row>
    <row r="98" spans="1:13" s="8" customFormat="1" ht="30" x14ac:dyDescent="0.25">
      <c r="A98" s="60" t="s">
        <v>179</v>
      </c>
      <c r="B98" s="23" t="s">
        <v>228</v>
      </c>
      <c r="C98" s="25" t="s">
        <v>240</v>
      </c>
      <c r="D98" s="58" t="s">
        <v>232</v>
      </c>
      <c r="E98" s="21">
        <v>6</v>
      </c>
      <c r="F98" s="21">
        <v>1</v>
      </c>
      <c r="G98" s="21"/>
      <c r="H98" s="75" t="str">
        <f t="shared" si="2"/>
        <v>лист 103</v>
      </c>
      <c r="I98" s="53" t="s">
        <v>121</v>
      </c>
      <c r="J98" s="54">
        <f t="shared" si="3"/>
        <v>103</v>
      </c>
      <c r="L98" s="13"/>
      <c r="M98" s="13"/>
    </row>
    <row r="99" spans="1:13" s="8" customFormat="1" x14ac:dyDescent="0.25">
      <c r="A99" s="60" t="s">
        <v>180</v>
      </c>
      <c r="B99" s="23" t="s">
        <v>34</v>
      </c>
      <c r="C99" s="25" t="s">
        <v>241</v>
      </c>
      <c r="D99" s="58">
        <v>44377</v>
      </c>
      <c r="E99" s="21">
        <v>6</v>
      </c>
      <c r="F99" s="21">
        <v>1</v>
      </c>
      <c r="G99" s="21"/>
      <c r="H99" s="75" t="str">
        <f t="shared" si="2"/>
        <v>лист 109</v>
      </c>
      <c r="I99" s="53" t="s">
        <v>121</v>
      </c>
      <c r="J99" s="54">
        <f t="shared" si="3"/>
        <v>109</v>
      </c>
      <c r="L99" s="13"/>
      <c r="M99" s="13"/>
    </row>
    <row r="100" spans="1:13" s="8" customFormat="1" ht="30" x14ac:dyDescent="0.25">
      <c r="A100" s="60" t="s">
        <v>181</v>
      </c>
      <c r="B100" s="23" t="s">
        <v>242</v>
      </c>
      <c r="C100" s="25" t="s">
        <v>337</v>
      </c>
      <c r="D100" s="58" t="s">
        <v>248</v>
      </c>
      <c r="E100" s="21">
        <v>1</v>
      </c>
      <c r="F100" s="21">
        <v>1</v>
      </c>
      <c r="G100" s="21"/>
      <c r="H100" s="75" t="str">
        <f t="shared" si="2"/>
        <v>лист 115</v>
      </c>
      <c r="I100" s="53" t="s">
        <v>121</v>
      </c>
      <c r="J100" s="54">
        <f t="shared" si="3"/>
        <v>115</v>
      </c>
      <c r="L100" s="13"/>
      <c r="M100" s="13"/>
    </row>
    <row r="101" spans="1:13" s="8" customFormat="1" x14ac:dyDescent="0.25">
      <c r="A101" s="60" t="s">
        <v>182</v>
      </c>
      <c r="B101" s="23" t="s">
        <v>243</v>
      </c>
      <c r="C101" s="25" t="s">
        <v>338</v>
      </c>
      <c r="D101" s="58">
        <v>43019</v>
      </c>
      <c r="E101" s="21">
        <v>2</v>
      </c>
      <c r="F101" s="21">
        <v>1</v>
      </c>
      <c r="G101" s="21"/>
      <c r="H101" s="75" t="str">
        <f t="shared" si="2"/>
        <v>лист 116</v>
      </c>
      <c r="I101" s="53" t="s">
        <v>121</v>
      </c>
      <c r="J101" s="54">
        <f t="shared" si="3"/>
        <v>116</v>
      </c>
      <c r="L101" s="13"/>
      <c r="M101" s="13"/>
    </row>
    <row r="102" spans="1:13" s="8" customFormat="1" x14ac:dyDescent="0.25">
      <c r="A102" s="60" t="s">
        <v>183</v>
      </c>
      <c r="B102" s="23" t="s">
        <v>34</v>
      </c>
      <c r="C102" s="25" t="s">
        <v>339</v>
      </c>
      <c r="D102" s="58" t="s">
        <v>26</v>
      </c>
      <c r="E102" s="21">
        <v>15</v>
      </c>
      <c r="F102" s="21">
        <v>1</v>
      </c>
      <c r="G102" s="21"/>
      <c r="H102" s="75" t="str">
        <f t="shared" si="2"/>
        <v>лист 118</v>
      </c>
      <c r="I102" s="53" t="s">
        <v>121</v>
      </c>
      <c r="J102" s="54">
        <f t="shared" si="3"/>
        <v>118</v>
      </c>
      <c r="L102" s="13"/>
      <c r="M102" s="13"/>
    </row>
    <row r="103" spans="1:13" s="8" customFormat="1" x14ac:dyDescent="0.25">
      <c r="A103" s="60" t="s">
        <v>184</v>
      </c>
      <c r="B103" s="23" t="s">
        <v>244</v>
      </c>
      <c r="C103" s="26" t="s">
        <v>249</v>
      </c>
      <c r="D103" s="58">
        <v>45691</v>
      </c>
      <c r="E103" s="21">
        <v>1</v>
      </c>
      <c r="F103" s="21">
        <v>1</v>
      </c>
      <c r="G103" s="21"/>
      <c r="H103" s="75" t="str">
        <f t="shared" si="2"/>
        <v>лист 133</v>
      </c>
      <c r="I103" s="53" t="s">
        <v>121</v>
      </c>
      <c r="J103" s="54">
        <f t="shared" si="3"/>
        <v>133</v>
      </c>
      <c r="L103" s="13"/>
      <c r="M103" s="13"/>
    </row>
    <row r="104" spans="1:13" s="8" customFormat="1" x14ac:dyDescent="0.25">
      <c r="A104" s="60" t="s">
        <v>185</v>
      </c>
      <c r="B104" s="23" t="s">
        <v>245</v>
      </c>
      <c r="C104" s="26" t="s">
        <v>250</v>
      </c>
      <c r="D104" s="58">
        <v>44865</v>
      </c>
      <c r="E104" s="21">
        <v>5</v>
      </c>
      <c r="F104" s="21">
        <v>1</v>
      </c>
      <c r="G104" s="21"/>
      <c r="H104" s="75" t="str">
        <f t="shared" si="2"/>
        <v>лист 134</v>
      </c>
      <c r="I104" s="53" t="s">
        <v>121</v>
      </c>
      <c r="J104" s="54">
        <f t="shared" si="3"/>
        <v>134</v>
      </c>
      <c r="L104" s="13"/>
      <c r="M104" s="13"/>
    </row>
    <row r="105" spans="1:13" s="8" customFormat="1" x14ac:dyDescent="0.25">
      <c r="A105" s="60" t="s">
        <v>186</v>
      </c>
      <c r="B105" s="23" t="s">
        <v>34</v>
      </c>
      <c r="C105" s="26" t="s">
        <v>250</v>
      </c>
      <c r="D105" s="58">
        <v>44679</v>
      </c>
      <c r="E105" s="21">
        <v>8</v>
      </c>
      <c r="F105" s="21">
        <v>1</v>
      </c>
      <c r="G105" s="21"/>
      <c r="H105" s="75" t="str">
        <f t="shared" si="2"/>
        <v>лист 139</v>
      </c>
      <c r="I105" s="53" t="s">
        <v>121</v>
      </c>
      <c r="J105" s="54">
        <f t="shared" si="3"/>
        <v>139</v>
      </c>
      <c r="L105" s="13"/>
      <c r="M105" s="13"/>
    </row>
    <row r="106" spans="1:13" s="8" customFormat="1" x14ac:dyDescent="0.25">
      <c r="A106" s="60" t="s">
        <v>187</v>
      </c>
      <c r="B106" s="23" t="s">
        <v>246</v>
      </c>
      <c r="C106" s="25" t="s">
        <v>340</v>
      </c>
      <c r="D106" s="58">
        <v>44888</v>
      </c>
      <c r="E106" s="21">
        <v>3</v>
      </c>
      <c r="F106" s="21">
        <v>1</v>
      </c>
      <c r="G106" s="21"/>
      <c r="H106" s="75" t="str">
        <f t="shared" si="2"/>
        <v>лист 147</v>
      </c>
      <c r="I106" s="53" t="s">
        <v>121</v>
      </c>
      <c r="J106" s="54">
        <f t="shared" si="3"/>
        <v>147</v>
      </c>
      <c r="L106" s="13"/>
      <c r="M106" s="13"/>
    </row>
    <row r="107" spans="1:13" s="9" customFormat="1" x14ac:dyDescent="0.25">
      <c r="A107" s="60" t="s">
        <v>188</v>
      </c>
      <c r="B107" s="24" t="s">
        <v>247</v>
      </c>
      <c r="C107" s="26" t="s">
        <v>341</v>
      </c>
      <c r="D107" s="73">
        <v>45603</v>
      </c>
      <c r="E107" s="74">
        <v>1</v>
      </c>
      <c r="F107" s="74">
        <v>1</v>
      </c>
      <c r="G107" s="74"/>
      <c r="H107" s="75" t="str">
        <f t="shared" si="2"/>
        <v>лист 150</v>
      </c>
      <c r="I107" s="75" t="s">
        <v>121</v>
      </c>
      <c r="J107" s="54">
        <f t="shared" si="3"/>
        <v>150</v>
      </c>
      <c r="L107" s="76"/>
      <c r="M107" s="76"/>
    </row>
    <row r="108" spans="1:13" s="8" customFormat="1" ht="30" x14ac:dyDescent="0.25">
      <c r="A108" s="60" t="s">
        <v>189</v>
      </c>
      <c r="B108" s="23" t="s">
        <v>251</v>
      </c>
      <c r="C108" s="25" t="s">
        <v>343</v>
      </c>
      <c r="D108" s="58" t="s">
        <v>257</v>
      </c>
      <c r="E108" s="21">
        <v>2</v>
      </c>
      <c r="F108" s="21">
        <v>1</v>
      </c>
      <c r="G108" s="21"/>
      <c r="H108" s="75" t="str">
        <f t="shared" si="2"/>
        <v>лист 151</v>
      </c>
      <c r="I108" s="53" t="s">
        <v>121</v>
      </c>
      <c r="J108" s="54">
        <f t="shared" si="3"/>
        <v>151</v>
      </c>
      <c r="L108" s="13"/>
      <c r="M108" s="13"/>
    </row>
    <row r="109" spans="1:13" s="8" customFormat="1" x14ac:dyDescent="0.25">
      <c r="A109" s="60" t="s">
        <v>190</v>
      </c>
      <c r="B109" s="23" t="s">
        <v>252</v>
      </c>
      <c r="C109" s="25" t="s">
        <v>344</v>
      </c>
      <c r="D109" s="58">
        <v>43560</v>
      </c>
      <c r="E109" s="21">
        <v>3</v>
      </c>
      <c r="F109" s="21">
        <v>1</v>
      </c>
      <c r="G109" s="21"/>
      <c r="H109" s="75" t="str">
        <f t="shared" si="2"/>
        <v>лист 153</v>
      </c>
      <c r="I109" s="53" t="s">
        <v>121</v>
      </c>
      <c r="J109" s="54">
        <f t="shared" si="3"/>
        <v>153</v>
      </c>
      <c r="L109" s="13"/>
      <c r="M109" s="13"/>
    </row>
    <row r="110" spans="1:13" s="8" customFormat="1" ht="30" x14ac:dyDescent="0.25">
      <c r="A110" s="60" t="s">
        <v>191</v>
      </c>
      <c r="B110" s="23" t="s">
        <v>253</v>
      </c>
      <c r="C110" s="25" t="s">
        <v>343</v>
      </c>
      <c r="D110" s="58" t="s">
        <v>258</v>
      </c>
      <c r="E110" s="21">
        <v>1</v>
      </c>
      <c r="F110" s="21">
        <v>1</v>
      </c>
      <c r="G110" s="21"/>
      <c r="H110" s="75" t="str">
        <f t="shared" si="2"/>
        <v>лист 156</v>
      </c>
      <c r="I110" s="53" t="s">
        <v>121</v>
      </c>
      <c r="J110" s="54">
        <f t="shared" si="3"/>
        <v>156</v>
      </c>
      <c r="L110" s="13"/>
      <c r="M110" s="13"/>
    </row>
    <row r="111" spans="1:13" s="8" customFormat="1" ht="30" x14ac:dyDescent="0.25">
      <c r="A111" s="60" t="s">
        <v>342</v>
      </c>
      <c r="B111" s="23" t="s">
        <v>254</v>
      </c>
      <c r="C111" s="25" t="s">
        <v>260</v>
      </c>
      <c r="D111" s="58" t="s">
        <v>259</v>
      </c>
      <c r="E111" s="21">
        <v>1</v>
      </c>
      <c r="F111" s="21">
        <v>1</v>
      </c>
      <c r="G111" s="21"/>
      <c r="H111" s="75" t="str">
        <f t="shared" si="2"/>
        <v>лист 157</v>
      </c>
      <c r="I111" s="53" t="s">
        <v>121</v>
      </c>
      <c r="J111" s="54">
        <f t="shared" si="3"/>
        <v>157</v>
      </c>
      <c r="L111" s="13"/>
      <c r="M111" s="13"/>
    </row>
    <row r="112" spans="1:13" s="8" customFormat="1" x14ac:dyDescent="0.25">
      <c r="A112" s="60" t="s">
        <v>358</v>
      </c>
      <c r="B112" s="23" t="s">
        <v>255</v>
      </c>
      <c r="C112" s="25" t="s">
        <v>261</v>
      </c>
      <c r="D112" s="58">
        <v>42932</v>
      </c>
      <c r="E112" s="21">
        <v>1</v>
      </c>
      <c r="F112" s="21">
        <v>1</v>
      </c>
      <c r="G112" s="21"/>
      <c r="H112" s="75" t="str">
        <f t="shared" si="2"/>
        <v>лист 158</v>
      </c>
      <c r="I112" s="53" t="s">
        <v>121</v>
      </c>
      <c r="J112" s="54">
        <f t="shared" si="3"/>
        <v>158</v>
      </c>
      <c r="L112" s="13"/>
      <c r="M112" s="13"/>
    </row>
    <row r="113" spans="1:14" s="8" customFormat="1" x14ac:dyDescent="0.25">
      <c r="A113" s="60" t="s">
        <v>359</v>
      </c>
      <c r="B113" s="23" t="s">
        <v>256</v>
      </c>
      <c r="C113" s="25" t="s">
        <v>262</v>
      </c>
      <c r="D113" s="58">
        <v>45496</v>
      </c>
      <c r="E113" s="21">
        <v>1</v>
      </c>
      <c r="F113" s="21">
        <v>1</v>
      </c>
      <c r="G113" s="21"/>
      <c r="H113" s="75" t="str">
        <f t="shared" si="2"/>
        <v>лист 159</v>
      </c>
      <c r="I113" s="53" t="s">
        <v>121</v>
      </c>
      <c r="J113" s="54">
        <f t="shared" si="3"/>
        <v>159</v>
      </c>
      <c r="L113" s="13"/>
      <c r="M113" s="13"/>
    </row>
    <row r="114" spans="1:14" s="8" customFormat="1" x14ac:dyDescent="0.25">
      <c r="A114" s="65"/>
      <c r="B114" s="66"/>
      <c r="C114" s="67"/>
      <c r="D114" s="68"/>
      <c r="E114" s="49"/>
      <c r="F114" s="49"/>
      <c r="G114" s="49"/>
      <c r="H114" s="69"/>
      <c r="I114" s="69"/>
      <c r="J114" s="54"/>
      <c r="L114" s="13"/>
      <c r="M114" s="13"/>
    </row>
    <row r="115" spans="1:14" s="8" customFormat="1" x14ac:dyDescent="0.25">
      <c r="A115" s="61"/>
      <c r="B115" s="49"/>
      <c r="C115" s="55" t="str">
        <f>I115&amp;I116&amp;I117&amp;I116&amp;K115</f>
        <v>Реестр состоит из 159 страниц</v>
      </c>
      <c r="D115" s="49"/>
      <c r="E115" s="56"/>
      <c r="F115" s="56"/>
      <c r="G115" s="49"/>
      <c r="H115" s="48"/>
      <c r="I115" s="19" t="s">
        <v>115</v>
      </c>
      <c r="K115" s="8" t="s">
        <v>116</v>
      </c>
    </row>
    <row r="116" spans="1:14" s="8" customFormat="1" x14ac:dyDescent="0.25">
      <c r="A116" s="61"/>
      <c r="B116" s="49"/>
      <c r="C116" s="50"/>
      <c r="D116" s="49"/>
      <c r="E116" s="56"/>
      <c r="F116" s="56"/>
      <c r="G116" s="49"/>
      <c r="H116" s="48"/>
      <c r="I116" s="57" t="s">
        <v>117</v>
      </c>
    </row>
    <row r="117" spans="1:14" s="8" customFormat="1" ht="18.75" x14ac:dyDescent="0.3">
      <c r="A117" s="62"/>
      <c r="B117" s="5"/>
      <c r="C117" s="12"/>
      <c r="D117" s="6"/>
      <c r="E117" s="7"/>
      <c r="F117" s="15"/>
      <c r="G117" s="47"/>
      <c r="H117" s="14"/>
      <c r="I117" s="8">
        <f>SUM(E72:E113)+SUM(E14:E70)</f>
        <v>159</v>
      </c>
      <c r="J117" s="34"/>
      <c r="K117" s="34"/>
      <c r="L117" s="34"/>
      <c r="M117" s="34"/>
      <c r="N117" s="34"/>
    </row>
    <row r="118" spans="1:14" s="34" customFormat="1" ht="18.75" x14ac:dyDescent="0.3">
      <c r="A118" s="29"/>
      <c r="B118" s="81" t="s">
        <v>119</v>
      </c>
      <c r="C118" s="81"/>
      <c r="D118" s="81"/>
      <c r="E118" s="81"/>
      <c r="F118" s="81"/>
      <c r="G118" s="81"/>
      <c r="H118" s="81"/>
      <c r="I118" s="8"/>
    </row>
    <row r="119" spans="1:14" s="34" customFormat="1" ht="18.75" x14ac:dyDescent="0.3">
      <c r="A119" s="29"/>
      <c r="B119" s="35"/>
      <c r="C119" s="80" t="s">
        <v>17</v>
      </c>
      <c r="D119" s="80"/>
      <c r="E119" s="80"/>
      <c r="F119" s="80"/>
      <c r="G119" s="80"/>
      <c r="H119" s="31"/>
    </row>
    <row r="120" spans="1:14" s="34" customFormat="1" ht="18.75" x14ac:dyDescent="0.3">
      <c r="A120" s="29"/>
      <c r="B120" s="35"/>
      <c r="C120" s="64"/>
      <c r="D120" s="64"/>
      <c r="E120" s="64"/>
      <c r="F120" s="64"/>
      <c r="G120" s="64"/>
      <c r="H120" s="31"/>
    </row>
    <row r="121" spans="1:14" s="34" customFormat="1" ht="18.75" x14ac:dyDescent="0.3">
      <c r="A121" s="29"/>
      <c r="B121" s="81" t="s">
        <v>120</v>
      </c>
      <c r="C121" s="81"/>
      <c r="D121" s="81"/>
      <c r="E121" s="81"/>
      <c r="F121" s="81"/>
      <c r="G121" s="81"/>
      <c r="H121" s="81"/>
    </row>
    <row r="122" spans="1:14" x14ac:dyDescent="0.25">
      <c r="B122" s="35"/>
      <c r="C122" s="80" t="s">
        <v>17</v>
      </c>
      <c r="D122" s="80"/>
      <c r="E122" s="80"/>
      <c r="F122" s="80"/>
      <c r="G122" s="80"/>
      <c r="H122" s="31"/>
    </row>
  </sheetData>
  <mergeCells count="20">
    <mergeCell ref="A1:H2"/>
    <mergeCell ref="A11:B11"/>
    <mergeCell ref="C11:H11"/>
    <mergeCell ref="A3:H3"/>
    <mergeCell ref="A4:B5"/>
    <mergeCell ref="C4:H5"/>
    <mergeCell ref="A6:B6"/>
    <mergeCell ref="C6:H6"/>
    <mergeCell ref="A7:B7"/>
    <mergeCell ref="C7:H7"/>
    <mergeCell ref="A8:B8"/>
    <mergeCell ref="C8:H8"/>
    <mergeCell ref="A9:B9"/>
    <mergeCell ref="A10:B10"/>
    <mergeCell ref="C10:H10"/>
    <mergeCell ref="C122:G122"/>
    <mergeCell ref="B118:H118"/>
    <mergeCell ref="C119:G119"/>
    <mergeCell ref="B121:H121"/>
    <mergeCell ref="A71:H71"/>
  </mergeCells>
  <phoneticPr fontId="23" type="noConversion"/>
  <pageMargins left="0.78740157480314965" right="0.31496062992125984" top="0.31496062992125984" bottom="0.31496062992125984" header="0" footer="0"/>
  <pageSetup paperSize="9" scale="59" fitToHeight="0" orientation="landscape" horizontalDpi="1200" verticalDpi="1200" r:id="rId1"/>
  <headerFooter>
    <oddFooter>Страница 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86"/>
  <sheetViews>
    <sheetView zoomScale="85" zoomScaleNormal="85" zoomScaleSheetLayoutView="85" workbookViewId="0">
      <selection activeCell="H12" sqref="H12"/>
    </sheetView>
  </sheetViews>
  <sheetFormatPr defaultColWidth="9.140625" defaultRowHeight="15.75" x14ac:dyDescent="0.25"/>
  <cols>
    <col min="1" max="1" width="5.42578125" style="8" customWidth="1"/>
    <col min="2" max="2" width="32.85546875" style="8" customWidth="1"/>
    <col min="3" max="3" width="84.28515625" style="19" customWidth="1"/>
    <col min="4" max="4" width="19.28515625" style="8" customWidth="1"/>
    <col min="5" max="5" width="15.85546875" style="9" customWidth="1"/>
    <col min="6" max="6" width="15.140625" style="9" customWidth="1"/>
    <col min="7" max="7" width="20.7109375" style="18" customWidth="1"/>
    <col min="8" max="8" width="28.7109375" style="8" customWidth="1"/>
    <col min="9" max="9" width="9.140625" style="8"/>
    <col min="10" max="10" width="63.28515625" style="19" customWidth="1"/>
    <col min="11" max="11" width="9.140625" style="8"/>
    <col min="12" max="12" width="11.85546875" style="8" bestFit="1" customWidth="1"/>
    <col min="13" max="17" width="9.140625" style="8"/>
    <col min="18" max="16384" width="9.140625" style="16"/>
  </cols>
  <sheetData>
    <row r="1" spans="1:13" s="8" customFormat="1" x14ac:dyDescent="0.25">
      <c r="A1" s="88" t="s">
        <v>107</v>
      </c>
      <c r="B1" s="88"/>
      <c r="C1" s="88"/>
      <c r="D1" s="88"/>
      <c r="E1" s="88"/>
      <c r="F1" s="88"/>
      <c r="G1" s="88"/>
      <c r="H1" s="88"/>
      <c r="J1" s="19"/>
    </row>
    <row r="2" spans="1:13" s="8" customFormat="1" ht="15.75" customHeight="1" x14ac:dyDescent="0.25">
      <c r="A2" s="89" t="s">
        <v>0</v>
      </c>
      <c r="B2" s="89"/>
      <c r="C2" s="87" t="s">
        <v>21</v>
      </c>
      <c r="D2" s="87"/>
      <c r="E2" s="87"/>
      <c r="F2" s="87"/>
      <c r="G2" s="87"/>
      <c r="H2" s="87"/>
      <c r="J2" s="19"/>
    </row>
    <row r="3" spans="1:13" s="8" customFormat="1" x14ac:dyDescent="0.25">
      <c r="A3" s="89"/>
      <c r="B3" s="89"/>
      <c r="C3" s="87"/>
      <c r="D3" s="87"/>
      <c r="E3" s="87"/>
      <c r="F3" s="87"/>
      <c r="G3" s="87"/>
      <c r="H3" s="87"/>
      <c r="J3" s="19"/>
    </row>
    <row r="4" spans="1:13" s="8" customFormat="1" x14ac:dyDescent="0.25">
      <c r="A4" s="86" t="s">
        <v>1</v>
      </c>
      <c r="B4" s="86"/>
      <c r="C4" s="90" t="s">
        <v>19</v>
      </c>
      <c r="D4" s="90"/>
      <c r="E4" s="90"/>
      <c r="F4" s="90"/>
      <c r="G4" s="90"/>
      <c r="H4" s="90"/>
      <c r="J4" s="19"/>
    </row>
    <row r="5" spans="1:13" s="8" customFormat="1" x14ac:dyDescent="0.25">
      <c r="A5" s="86" t="s">
        <v>2</v>
      </c>
      <c r="B5" s="86"/>
      <c r="C5" s="90" t="s">
        <v>3</v>
      </c>
      <c r="D5" s="90"/>
      <c r="E5" s="90"/>
      <c r="F5" s="90"/>
      <c r="G5" s="90"/>
      <c r="H5" s="90"/>
      <c r="J5" s="19"/>
    </row>
    <row r="6" spans="1:13" s="8" customFormat="1" ht="33.75" customHeight="1" x14ac:dyDescent="0.25">
      <c r="A6" s="89" t="s">
        <v>4</v>
      </c>
      <c r="B6" s="89"/>
      <c r="C6" s="90" t="s">
        <v>5</v>
      </c>
      <c r="D6" s="90"/>
      <c r="E6" s="90"/>
      <c r="F6" s="90"/>
      <c r="G6" s="90"/>
      <c r="H6" s="90"/>
      <c r="J6" s="19"/>
    </row>
    <row r="7" spans="1:13" s="8" customFormat="1" x14ac:dyDescent="0.25">
      <c r="A7" s="89" t="s">
        <v>6</v>
      </c>
      <c r="B7" s="89"/>
      <c r="C7" s="51" t="s">
        <v>7</v>
      </c>
      <c r="D7" s="2"/>
      <c r="E7" s="2"/>
      <c r="F7" s="2"/>
      <c r="G7" s="17"/>
      <c r="H7" s="2"/>
      <c r="J7" s="19"/>
    </row>
    <row r="8" spans="1:13" s="8" customFormat="1" x14ac:dyDescent="0.25">
      <c r="A8" s="86" t="s">
        <v>8</v>
      </c>
      <c r="B8" s="86"/>
      <c r="C8" s="90" t="s">
        <v>93</v>
      </c>
      <c r="D8" s="90"/>
      <c r="E8" s="90"/>
      <c r="F8" s="90"/>
      <c r="G8" s="90"/>
      <c r="H8" s="90"/>
      <c r="J8" s="19"/>
    </row>
    <row r="9" spans="1:13" s="8" customFormat="1" x14ac:dyDescent="0.25">
      <c r="A9" s="86" t="s">
        <v>9</v>
      </c>
      <c r="B9" s="86"/>
      <c r="C9" s="87" t="s">
        <v>94</v>
      </c>
      <c r="D9" s="87"/>
      <c r="E9" s="87"/>
      <c r="F9" s="87"/>
      <c r="G9" s="87"/>
      <c r="H9" s="87"/>
      <c r="J9" s="19"/>
    </row>
    <row r="10" spans="1:13" s="8" customFormat="1" ht="78.75" x14ac:dyDescent="0.25">
      <c r="A10" s="3" t="s">
        <v>10</v>
      </c>
      <c r="B10" s="3" t="s">
        <v>11</v>
      </c>
      <c r="C10" s="3" t="s">
        <v>15</v>
      </c>
      <c r="D10" s="3" t="s">
        <v>20</v>
      </c>
      <c r="E10" s="4" t="s">
        <v>114</v>
      </c>
      <c r="F10" s="4" t="s">
        <v>12</v>
      </c>
      <c r="G10" s="3" t="s">
        <v>13</v>
      </c>
      <c r="H10" s="3" t="s">
        <v>14</v>
      </c>
      <c r="J10" s="19"/>
    </row>
    <row r="11" spans="1:13" s="8" customFormat="1" x14ac:dyDescent="0.25">
      <c r="A11" s="3">
        <v>1</v>
      </c>
      <c r="B11" s="3">
        <v>2</v>
      </c>
      <c r="C11" s="3">
        <v>3</v>
      </c>
      <c r="D11" s="3">
        <v>4</v>
      </c>
      <c r="E11" s="4">
        <v>5</v>
      </c>
      <c r="F11" s="4">
        <v>6</v>
      </c>
      <c r="G11" s="3">
        <v>7</v>
      </c>
      <c r="H11" s="3">
        <v>8</v>
      </c>
      <c r="J11" s="19"/>
    </row>
    <row r="12" spans="1:13" s="8" customFormat="1" ht="42.75" x14ac:dyDescent="0.25">
      <c r="A12" s="42">
        <v>1</v>
      </c>
      <c r="B12" s="42" t="s">
        <v>112</v>
      </c>
      <c r="C12" s="43" t="s">
        <v>108</v>
      </c>
      <c r="D12" s="42" t="s">
        <v>95</v>
      </c>
      <c r="E12" s="42">
        <v>1</v>
      </c>
      <c r="F12" s="42">
        <v>1</v>
      </c>
      <c r="G12" s="42" t="s">
        <v>98</v>
      </c>
      <c r="H12" s="52"/>
      <c r="J12" s="19"/>
      <c r="L12" s="13"/>
      <c r="M12" s="13"/>
    </row>
    <row r="13" spans="1:13" s="8" customFormat="1" ht="30" x14ac:dyDescent="0.25">
      <c r="A13" s="21">
        <v>2</v>
      </c>
      <c r="B13" s="21" t="s">
        <v>24</v>
      </c>
      <c r="C13" s="28" t="s">
        <v>96</v>
      </c>
      <c r="D13" s="21" t="s">
        <v>97</v>
      </c>
      <c r="E13" s="21">
        <v>1</v>
      </c>
      <c r="F13" s="21">
        <v>1</v>
      </c>
      <c r="G13" s="21"/>
      <c r="H13" s="53"/>
      <c r="J13" s="19"/>
      <c r="L13" s="13"/>
      <c r="M13" s="13"/>
    </row>
    <row r="14" spans="1:13" s="8" customFormat="1" ht="42.75" x14ac:dyDescent="0.25">
      <c r="A14" s="42">
        <v>3</v>
      </c>
      <c r="B14" s="42" t="s">
        <v>99</v>
      </c>
      <c r="C14" s="43" t="s">
        <v>100</v>
      </c>
      <c r="D14" s="42" t="s">
        <v>101</v>
      </c>
      <c r="E14" s="42">
        <v>1</v>
      </c>
      <c r="F14" s="42">
        <v>1</v>
      </c>
      <c r="G14" s="42" t="s">
        <v>98</v>
      </c>
      <c r="H14" s="52"/>
      <c r="J14" s="19"/>
    </row>
    <row r="15" spans="1:13" s="8" customFormat="1" ht="30" x14ac:dyDescent="0.25">
      <c r="A15" s="21">
        <v>4</v>
      </c>
      <c r="B15" s="21" t="s">
        <v>24</v>
      </c>
      <c r="C15" s="28" t="s">
        <v>102</v>
      </c>
      <c r="D15" s="21" t="s">
        <v>103</v>
      </c>
      <c r="E15" s="21">
        <v>1</v>
      </c>
      <c r="F15" s="21">
        <v>1</v>
      </c>
      <c r="G15" s="21"/>
      <c r="H15" s="53"/>
      <c r="J15" s="19"/>
    </row>
    <row r="16" spans="1:13" s="8" customFormat="1" x14ac:dyDescent="0.25">
      <c r="A16" s="21">
        <v>5</v>
      </c>
      <c r="B16" s="21" t="s">
        <v>24</v>
      </c>
      <c r="C16" s="28" t="s">
        <v>113</v>
      </c>
      <c r="D16" s="21" t="s">
        <v>26</v>
      </c>
      <c r="E16" s="21">
        <v>1</v>
      </c>
      <c r="F16" s="21">
        <v>1</v>
      </c>
      <c r="G16" s="21"/>
      <c r="H16" s="53"/>
      <c r="J16" s="19"/>
    </row>
    <row r="17" spans="1:10" s="8" customFormat="1" ht="30" x14ac:dyDescent="0.25">
      <c r="A17" s="21">
        <v>7</v>
      </c>
      <c r="B17" s="21" t="s">
        <v>104</v>
      </c>
      <c r="C17" s="28" t="s">
        <v>109</v>
      </c>
      <c r="D17" s="40">
        <v>44789</v>
      </c>
      <c r="E17" s="21">
        <v>1</v>
      </c>
      <c r="F17" s="21">
        <v>1</v>
      </c>
      <c r="G17" s="21"/>
      <c r="H17" s="53"/>
      <c r="J17" s="19"/>
    </row>
    <row r="18" spans="1:10" s="8" customFormat="1" ht="30" x14ac:dyDescent="0.25">
      <c r="A18" s="21">
        <v>8</v>
      </c>
      <c r="B18" s="21" t="s">
        <v>111</v>
      </c>
      <c r="C18" s="28" t="s">
        <v>110</v>
      </c>
      <c r="D18" s="40">
        <v>42558</v>
      </c>
      <c r="E18" s="21">
        <v>1</v>
      </c>
      <c r="F18" s="21">
        <v>1</v>
      </c>
      <c r="G18" s="21"/>
      <c r="H18" s="53"/>
      <c r="J18" s="19"/>
    </row>
    <row r="19" spans="1:10" s="8" customFormat="1" x14ac:dyDescent="0.25">
      <c r="A19" s="48"/>
      <c r="B19" s="49"/>
      <c r="C19" s="50"/>
      <c r="D19" s="49"/>
      <c r="E19" s="49"/>
      <c r="F19" s="49"/>
      <c r="G19" s="49"/>
      <c r="H19" s="48"/>
    </row>
    <row r="20" spans="1:10" s="8" customFormat="1" x14ac:dyDescent="0.25">
      <c r="A20" s="48"/>
      <c r="B20" s="49"/>
      <c r="C20" s="50"/>
      <c r="D20" s="49"/>
      <c r="E20" s="49"/>
      <c r="F20" s="49"/>
      <c r="G20" s="49"/>
      <c r="H20" s="48"/>
    </row>
    <row r="21" spans="1:10" s="8" customFormat="1" x14ac:dyDescent="0.25">
      <c r="A21" s="14"/>
      <c r="B21" s="5"/>
      <c r="C21" s="12"/>
      <c r="D21" s="6"/>
      <c r="E21" s="6"/>
      <c r="F21" s="6"/>
      <c r="G21" s="47"/>
      <c r="H21" s="14"/>
    </row>
    <row r="22" spans="1:10" s="34" customFormat="1" ht="18.75" x14ac:dyDescent="0.3">
      <c r="A22" s="29"/>
      <c r="B22" s="91" t="s">
        <v>106</v>
      </c>
      <c r="C22" s="91"/>
      <c r="D22" s="91"/>
      <c r="E22" s="91"/>
      <c r="F22" s="91"/>
      <c r="G22" s="91"/>
      <c r="H22" s="91"/>
    </row>
    <row r="23" spans="1:10" s="34" customFormat="1" ht="18.75" x14ac:dyDescent="0.3">
      <c r="A23" s="29"/>
      <c r="B23" s="35"/>
      <c r="C23" s="80" t="s">
        <v>17</v>
      </c>
      <c r="D23" s="80"/>
      <c r="E23" s="80"/>
      <c r="F23" s="80"/>
      <c r="G23" s="80"/>
      <c r="H23" s="31"/>
    </row>
    <row r="24" spans="1:10" s="34" customFormat="1" ht="18.75" x14ac:dyDescent="0.3">
      <c r="A24" s="29"/>
      <c r="B24" s="91" t="s">
        <v>105</v>
      </c>
      <c r="C24" s="91"/>
      <c r="D24" s="91"/>
      <c r="E24" s="91"/>
      <c r="F24" s="91"/>
      <c r="G24" s="91"/>
      <c r="H24" s="91"/>
    </row>
    <row r="25" spans="1:10" s="34" customFormat="1" ht="18.75" x14ac:dyDescent="0.3">
      <c r="A25" s="29"/>
      <c r="B25" s="35"/>
      <c r="C25" s="80" t="s">
        <v>17</v>
      </c>
      <c r="D25" s="80"/>
      <c r="E25" s="80"/>
      <c r="F25" s="80"/>
      <c r="G25" s="80"/>
      <c r="H25" s="31"/>
    </row>
    <row r="26" spans="1:10" x14ac:dyDescent="0.25">
      <c r="E26" s="8"/>
      <c r="F26" s="8"/>
    </row>
    <row r="27" spans="1:10" x14ac:dyDescent="0.25">
      <c r="E27" s="8"/>
      <c r="F27" s="8"/>
    </row>
    <row r="28" spans="1:10" x14ac:dyDescent="0.25">
      <c r="E28" s="8"/>
      <c r="F28" s="8"/>
    </row>
    <row r="29" spans="1:10" x14ac:dyDescent="0.25">
      <c r="E29" s="8"/>
      <c r="F29" s="8"/>
    </row>
    <row r="30" spans="1:10" x14ac:dyDescent="0.25">
      <c r="E30" s="8"/>
      <c r="F30" s="8"/>
    </row>
    <row r="31" spans="1:10" x14ac:dyDescent="0.25">
      <c r="E31" s="8"/>
      <c r="F31" s="8"/>
    </row>
    <row r="32" spans="1:10" x14ac:dyDescent="0.25">
      <c r="E32" s="8"/>
      <c r="F32" s="8"/>
    </row>
    <row r="33" spans="5:6" x14ac:dyDescent="0.25">
      <c r="E33" s="8"/>
      <c r="F33" s="8"/>
    </row>
    <row r="34" spans="5:6" x14ac:dyDescent="0.25">
      <c r="E34" s="8"/>
      <c r="F34" s="8"/>
    </row>
    <row r="35" spans="5:6" x14ac:dyDescent="0.25">
      <c r="E35" s="8"/>
      <c r="F35" s="8"/>
    </row>
    <row r="36" spans="5:6" x14ac:dyDescent="0.25">
      <c r="E36" s="8"/>
      <c r="F36" s="8"/>
    </row>
    <row r="37" spans="5:6" x14ac:dyDescent="0.25">
      <c r="E37" s="8"/>
      <c r="F37" s="8"/>
    </row>
    <row r="38" spans="5:6" x14ac:dyDescent="0.25">
      <c r="E38" s="8"/>
      <c r="F38" s="8"/>
    </row>
    <row r="39" spans="5:6" x14ac:dyDescent="0.25">
      <c r="E39" s="8"/>
      <c r="F39" s="8"/>
    </row>
    <row r="40" spans="5:6" x14ac:dyDescent="0.25">
      <c r="E40" s="8"/>
      <c r="F40" s="8"/>
    </row>
    <row r="41" spans="5:6" x14ac:dyDescent="0.25">
      <c r="E41" s="8"/>
      <c r="F41" s="8"/>
    </row>
    <row r="42" spans="5:6" x14ac:dyDescent="0.25">
      <c r="E42" s="8"/>
      <c r="F42" s="8"/>
    </row>
    <row r="43" spans="5:6" x14ac:dyDescent="0.25">
      <c r="E43" s="8"/>
      <c r="F43" s="8"/>
    </row>
    <row r="44" spans="5:6" x14ac:dyDescent="0.25">
      <c r="E44" s="8"/>
      <c r="F44" s="8"/>
    </row>
    <row r="45" spans="5:6" x14ac:dyDescent="0.25">
      <c r="E45" s="8"/>
      <c r="F45" s="8"/>
    </row>
    <row r="46" spans="5:6" x14ac:dyDescent="0.25">
      <c r="E46" s="8"/>
      <c r="F46" s="8"/>
    </row>
    <row r="47" spans="5:6" x14ac:dyDescent="0.25">
      <c r="E47" s="8"/>
      <c r="F47" s="8"/>
    </row>
    <row r="48" spans="5:6" x14ac:dyDescent="0.25">
      <c r="E48" s="8"/>
      <c r="F48" s="8"/>
    </row>
    <row r="49" spans="5:6" x14ac:dyDescent="0.25">
      <c r="E49" s="8"/>
      <c r="F49" s="8"/>
    </row>
    <row r="50" spans="5:6" x14ac:dyDescent="0.25">
      <c r="E50" s="8"/>
      <c r="F50" s="8"/>
    </row>
    <row r="51" spans="5:6" x14ac:dyDescent="0.25">
      <c r="E51" s="8"/>
      <c r="F51" s="8"/>
    </row>
    <row r="52" spans="5:6" x14ac:dyDescent="0.25">
      <c r="E52" s="8"/>
      <c r="F52" s="8"/>
    </row>
    <row r="53" spans="5:6" x14ac:dyDescent="0.25">
      <c r="E53" s="8"/>
      <c r="F53" s="8"/>
    </row>
    <row r="54" spans="5:6" x14ac:dyDescent="0.25">
      <c r="E54" s="8"/>
      <c r="F54" s="8"/>
    </row>
    <row r="55" spans="5:6" x14ac:dyDescent="0.25">
      <c r="E55" s="8"/>
      <c r="F55" s="8"/>
    </row>
    <row r="56" spans="5:6" x14ac:dyDescent="0.25">
      <c r="E56" s="8"/>
      <c r="F56" s="8"/>
    </row>
    <row r="57" spans="5:6" x14ac:dyDescent="0.25">
      <c r="E57" s="8"/>
      <c r="F57" s="8"/>
    </row>
    <row r="58" spans="5:6" x14ac:dyDescent="0.25">
      <c r="E58" s="8"/>
      <c r="F58" s="8"/>
    </row>
    <row r="59" spans="5:6" x14ac:dyDescent="0.25">
      <c r="E59" s="8"/>
      <c r="F59" s="8"/>
    </row>
    <row r="60" spans="5:6" x14ac:dyDescent="0.25">
      <c r="E60" s="8"/>
      <c r="F60" s="8"/>
    </row>
    <row r="61" spans="5:6" x14ac:dyDescent="0.25">
      <c r="E61" s="8"/>
      <c r="F61" s="8"/>
    </row>
    <row r="62" spans="5:6" x14ac:dyDescent="0.25">
      <c r="E62" s="8"/>
      <c r="F62" s="8"/>
    </row>
    <row r="63" spans="5:6" x14ac:dyDescent="0.25">
      <c r="E63" s="8"/>
      <c r="F63" s="8"/>
    </row>
    <row r="64" spans="5:6" x14ac:dyDescent="0.25">
      <c r="E64" s="8"/>
      <c r="F64" s="8"/>
    </row>
    <row r="65" spans="5:6" x14ac:dyDescent="0.25">
      <c r="E65" s="8"/>
      <c r="F65" s="8"/>
    </row>
    <row r="66" spans="5:6" x14ac:dyDescent="0.25">
      <c r="E66" s="8"/>
      <c r="F66" s="8"/>
    </row>
    <row r="67" spans="5:6" x14ac:dyDescent="0.25">
      <c r="E67" s="8"/>
      <c r="F67" s="8"/>
    </row>
    <row r="68" spans="5:6" x14ac:dyDescent="0.25">
      <c r="E68" s="8"/>
      <c r="F68" s="8"/>
    </row>
    <row r="69" spans="5:6" x14ac:dyDescent="0.25">
      <c r="E69" s="8"/>
      <c r="F69" s="8"/>
    </row>
    <row r="70" spans="5:6" x14ac:dyDescent="0.25">
      <c r="E70" s="8"/>
      <c r="F70" s="8"/>
    </row>
    <row r="71" spans="5:6" x14ac:dyDescent="0.25">
      <c r="E71" s="8"/>
      <c r="F71" s="8"/>
    </row>
    <row r="72" spans="5:6" x14ac:dyDescent="0.25">
      <c r="E72" s="8"/>
      <c r="F72" s="8"/>
    </row>
    <row r="73" spans="5:6" x14ac:dyDescent="0.25">
      <c r="E73" s="8"/>
      <c r="F73" s="8"/>
    </row>
    <row r="74" spans="5:6" x14ac:dyDescent="0.25">
      <c r="E74" s="8"/>
      <c r="F74" s="8"/>
    </row>
    <row r="75" spans="5:6" x14ac:dyDescent="0.25">
      <c r="E75" s="8"/>
      <c r="F75" s="8"/>
    </row>
    <row r="76" spans="5:6" x14ac:dyDescent="0.25">
      <c r="E76" s="8"/>
      <c r="F76" s="8"/>
    </row>
    <row r="77" spans="5:6" x14ac:dyDescent="0.25">
      <c r="E77" s="8"/>
      <c r="F77" s="8"/>
    </row>
    <row r="78" spans="5:6" x14ac:dyDescent="0.25">
      <c r="E78" s="8"/>
      <c r="F78" s="8"/>
    </row>
    <row r="79" spans="5:6" x14ac:dyDescent="0.25">
      <c r="E79" s="8"/>
      <c r="F79" s="8"/>
    </row>
    <row r="80" spans="5:6" x14ac:dyDescent="0.25">
      <c r="E80" s="8"/>
      <c r="F80" s="8"/>
    </row>
    <row r="81" spans="5:6" x14ac:dyDescent="0.25">
      <c r="E81" s="8"/>
      <c r="F81" s="8"/>
    </row>
    <row r="82" spans="5:6" x14ac:dyDescent="0.25">
      <c r="E82" s="8"/>
      <c r="F82" s="8"/>
    </row>
    <row r="83" spans="5:6" x14ac:dyDescent="0.25">
      <c r="E83" s="8"/>
      <c r="F83" s="8"/>
    </row>
    <row r="84" spans="5:6" x14ac:dyDescent="0.25">
      <c r="E84" s="8"/>
      <c r="F84" s="8"/>
    </row>
    <row r="85" spans="5:6" x14ac:dyDescent="0.25">
      <c r="E85" s="8"/>
      <c r="F85" s="8"/>
    </row>
    <row r="86" spans="5:6" x14ac:dyDescent="0.25">
      <c r="E86" s="8"/>
      <c r="F86" s="8"/>
    </row>
    <row r="87" spans="5:6" x14ac:dyDescent="0.25">
      <c r="E87" s="8"/>
      <c r="F87" s="8"/>
    </row>
    <row r="88" spans="5:6" x14ac:dyDescent="0.25">
      <c r="E88" s="8"/>
      <c r="F88" s="8"/>
    </row>
    <row r="89" spans="5:6" x14ac:dyDescent="0.25">
      <c r="E89" s="8"/>
      <c r="F89" s="8"/>
    </row>
    <row r="90" spans="5:6" x14ac:dyDescent="0.25">
      <c r="E90" s="8"/>
      <c r="F90" s="8"/>
    </row>
    <row r="91" spans="5:6" x14ac:dyDescent="0.25">
      <c r="E91" s="8"/>
      <c r="F91" s="8"/>
    </row>
    <row r="92" spans="5:6" x14ac:dyDescent="0.25">
      <c r="E92" s="8"/>
      <c r="F92" s="8"/>
    </row>
    <row r="93" spans="5:6" x14ac:dyDescent="0.25">
      <c r="E93" s="8"/>
      <c r="F93" s="8"/>
    </row>
    <row r="94" spans="5:6" x14ac:dyDescent="0.25">
      <c r="E94" s="8"/>
      <c r="F94" s="8"/>
    </row>
    <row r="95" spans="5:6" x14ac:dyDescent="0.25">
      <c r="E95" s="8"/>
      <c r="F95" s="8"/>
    </row>
    <row r="96" spans="5:6" x14ac:dyDescent="0.25">
      <c r="E96" s="8"/>
      <c r="F96" s="8"/>
    </row>
    <row r="97" spans="5:6" x14ac:dyDescent="0.25">
      <c r="E97" s="8"/>
      <c r="F97" s="8"/>
    </row>
    <row r="98" spans="5:6" x14ac:dyDescent="0.25">
      <c r="E98" s="8"/>
      <c r="F98" s="8"/>
    </row>
    <row r="99" spans="5:6" x14ac:dyDescent="0.25">
      <c r="E99" s="8"/>
      <c r="F99" s="8"/>
    </row>
    <row r="100" spans="5:6" x14ac:dyDescent="0.25">
      <c r="E100" s="8"/>
      <c r="F100" s="8"/>
    </row>
    <row r="101" spans="5:6" x14ac:dyDescent="0.25">
      <c r="E101" s="8"/>
      <c r="F101" s="8"/>
    </row>
    <row r="102" spans="5:6" x14ac:dyDescent="0.25">
      <c r="E102" s="8"/>
      <c r="F102" s="8"/>
    </row>
    <row r="103" spans="5:6" x14ac:dyDescent="0.25">
      <c r="E103" s="8"/>
      <c r="F103" s="8"/>
    </row>
    <row r="104" spans="5:6" x14ac:dyDescent="0.25">
      <c r="E104" s="8"/>
      <c r="F104" s="8"/>
    </row>
    <row r="105" spans="5:6" x14ac:dyDescent="0.25">
      <c r="E105" s="8"/>
      <c r="F105" s="8"/>
    </row>
    <row r="106" spans="5:6" x14ac:dyDescent="0.25">
      <c r="E106" s="8"/>
      <c r="F106" s="8"/>
    </row>
    <row r="107" spans="5:6" x14ac:dyDescent="0.25">
      <c r="E107" s="8"/>
      <c r="F107" s="8"/>
    </row>
    <row r="108" spans="5:6" x14ac:dyDescent="0.25">
      <c r="E108" s="8"/>
      <c r="F108" s="8"/>
    </row>
    <row r="109" spans="5:6" x14ac:dyDescent="0.25">
      <c r="E109" s="8"/>
      <c r="F109" s="8"/>
    </row>
    <row r="110" spans="5:6" x14ac:dyDescent="0.25">
      <c r="E110" s="8"/>
      <c r="F110" s="8"/>
    </row>
    <row r="111" spans="5:6" x14ac:dyDescent="0.25">
      <c r="E111" s="8"/>
      <c r="F111" s="8"/>
    </row>
    <row r="112" spans="5:6" x14ac:dyDescent="0.25">
      <c r="E112" s="8"/>
      <c r="F112" s="8"/>
    </row>
    <row r="113" spans="5:6" x14ac:dyDescent="0.25">
      <c r="E113" s="8"/>
      <c r="F113" s="8"/>
    </row>
    <row r="114" spans="5:6" x14ac:dyDescent="0.25">
      <c r="E114" s="8"/>
      <c r="F114" s="8"/>
    </row>
    <row r="115" spans="5:6" x14ac:dyDescent="0.25">
      <c r="E115" s="8"/>
      <c r="F115" s="8"/>
    </row>
    <row r="116" spans="5:6" x14ac:dyDescent="0.25">
      <c r="E116" s="8"/>
      <c r="F116" s="8"/>
    </row>
    <row r="117" spans="5:6" x14ac:dyDescent="0.25">
      <c r="E117" s="8"/>
      <c r="F117" s="8"/>
    </row>
    <row r="118" spans="5:6" x14ac:dyDescent="0.25">
      <c r="E118" s="8"/>
      <c r="F118" s="8"/>
    </row>
    <row r="119" spans="5:6" x14ac:dyDescent="0.25">
      <c r="E119" s="8"/>
      <c r="F119" s="8"/>
    </row>
    <row r="120" spans="5:6" x14ac:dyDescent="0.25">
      <c r="E120" s="8"/>
      <c r="F120" s="8"/>
    </row>
    <row r="121" spans="5:6" x14ac:dyDescent="0.25">
      <c r="E121" s="8"/>
      <c r="F121" s="8"/>
    </row>
    <row r="122" spans="5:6" x14ac:dyDescent="0.25">
      <c r="E122" s="8"/>
      <c r="F122" s="8"/>
    </row>
    <row r="123" spans="5:6" x14ac:dyDescent="0.25">
      <c r="E123" s="8"/>
      <c r="F123" s="8"/>
    </row>
    <row r="124" spans="5:6" x14ac:dyDescent="0.25">
      <c r="E124" s="8"/>
      <c r="F124" s="8"/>
    </row>
    <row r="125" spans="5:6" x14ac:dyDescent="0.25">
      <c r="E125" s="8"/>
      <c r="F125" s="8"/>
    </row>
    <row r="126" spans="5:6" x14ac:dyDescent="0.25">
      <c r="E126" s="8"/>
      <c r="F126" s="8"/>
    </row>
    <row r="127" spans="5:6" x14ac:dyDescent="0.25">
      <c r="E127" s="8"/>
      <c r="F127" s="8"/>
    </row>
    <row r="128" spans="5:6" x14ac:dyDescent="0.25">
      <c r="E128" s="8"/>
      <c r="F128" s="8"/>
    </row>
    <row r="129" spans="5:6" x14ac:dyDescent="0.25">
      <c r="E129" s="8"/>
      <c r="F129" s="8"/>
    </row>
    <row r="130" spans="5:6" x14ac:dyDescent="0.25">
      <c r="E130" s="8"/>
      <c r="F130" s="8"/>
    </row>
    <row r="131" spans="5:6" x14ac:dyDescent="0.25">
      <c r="E131" s="8"/>
      <c r="F131" s="8"/>
    </row>
    <row r="132" spans="5:6" x14ac:dyDescent="0.25">
      <c r="E132" s="8"/>
      <c r="F132" s="8"/>
    </row>
    <row r="133" spans="5:6" x14ac:dyDescent="0.25">
      <c r="E133" s="8"/>
      <c r="F133" s="8"/>
    </row>
    <row r="134" spans="5:6" x14ac:dyDescent="0.25">
      <c r="E134" s="8"/>
      <c r="F134" s="8"/>
    </row>
    <row r="135" spans="5:6" x14ac:dyDescent="0.25">
      <c r="E135" s="8"/>
      <c r="F135" s="8"/>
    </row>
    <row r="136" spans="5:6" x14ac:dyDescent="0.25">
      <c r="E136" s="8"/>
      <c r="F136" s="8"/>
    </row>
    <row r="137" spans="5:6" x14ac:dyDescent="0.25">
      <c r="E137" s="8"/>
      <c r="F137" s="8"/>
    </row>
    <row r="138" spans="5:6" x14ac:dyDescent="0.25">
      <c r="E138" s="8"/>
      <c r="F138" s="8"/>
    </row>
    <row r="139" spans="5:6" x14ac:dyDescent="0.25">
      <c r="E139" s="8"/>
      <c r="F139" s="8"/>
    </row>
    <row r="140" spans="5:6" x14ac:dyDescent="0.25">
      <c r="E140" s="8"/>
      <c r="F140" s="8"/>
    </row>
    <row r="141" spans="5:6" x14ac:dyDescent="0.25">
      <c r="E141" s="8"/>
      <c r="F141" s="8"/>
    </row>
    <row r="142" spans="5:6" x14ac:dyDescent="0.25">
      <c r="E142" s="8"/>
      <c r="F142" s="8"/>
    </row>
    <row r="143" spans="5:6" x14ac:dyDescent="0.25">
      <c r="E143" s="8"/>
      <c r="F143" s="8"/>
    </row>
    <row r="144" spans="5:6" x14ac:dyDescent="0.25">
      <c r="E144" s="8"/>
      <c r="F144" s="8"/>
    </row>
    <row r="145" spans="5:6" x14ac:dyDescent="0.25">
      <c r="E145" s="8"/>
      <c r="F145" s="8"/>
    </row>
    <row r="146" spans="5:6" x14ac:dyDescent="0.25">
      <c r="E146" s="8"/>
      <c r="F146" s="8"/>
    </row>
    <row r="147" spans="5:6" x14ac:dyDescent="0.25">
      <c r="E147" s="8"/>
      <c r="F147" s="8"/>
    </row>
    <row r="148" spans="5:6" x14ac:dyDescent="0.25">
      <c r="E148" s="8"/>
      <c r="F148" s="8"/>
    </row>
    <row r="149" spans="5:6" x14ac:dyDescent="0.25">
      <c r="E149" s="8"/>
      <c r="F149" s="8"/>
    </row>
    <row r="150" spans="5:6" x14ac:dyDescent="0.25">
      <c r="E150" s="8"/>
      <c r="F150" s="8"/>
    </row>
    <row r="151" spans="5:6" x14ac:dyDescent="0.25">
      <c r="E151" s="8"/>
      <c r="F151" s="8"/>
    </row>
    <row r="152" spans="5:6" x14ac:dyDescent="0.25">
      <c r="E152" s="8"/>
      <c r="F152" s="8"/>
    </row>
    <row r="153" spans="5:6" x14ac:dyDescent="0.25">
      <c r="E153" s="8"/>
      <c r="F153" s="8"/>
    </row>
    <row r="154" spans="5:6" x14ac:dyDescent="0.25">
      <c r="E154" s="8"/>
      <c r="F154" s="8"/>
    </row>
    <row r="155" spans="5:6" x14ac:dyDescent="0.25">
      <c r="E155" s="8"/>
      <c r="F155" s="8"/>
    </row>
    <row r="156" spans="5:6" x14ac:dyDescent="0.25">
      <c r="E156" s="8"/>
      <c r="F156" s="8"/>
    </row>
    <row r="157" spans="5:6" x14ac:dyDescent="0.25">
      <c r="E157" s="8"/>
      <c r="F157" s="8"/>
    </row>
    <row r="158" spans="5:6" x14ac:dyDescent="0.25">
      <c r="E158" s="8"/>
      <c r="F158" s="8"/>
    </row>
    <row r="159" spans="5:6" x14ac:dyDescent="0.25">
      <c r="E159" s="8"/>
      <c r="F159" s="8"/>
    </row>
    <row r="160" spans="5:6" x14ac:dyDescent="0.25">
      <c r="E160" s="8"/>
      <c r="F160" s="8"/>
    </row>
    <row r="161" spans="5:6" x14ac:dyDescent="0.25">
      <c r="E161" s="8"/>
      <c r="F161" s="8"/>
    </row>
    <row r="162" spans="5:6" x14ac:dyDescent="0.25">
      <c r="E162" s="8"/>
      <c r="F162" s="8"/>
    </row>
    <row r="163" spans="5:6" x14ac:dyDescent="0.25">
      <c r="E163" s="8"/>
      <c r="F163" s="8"/>
    </row>
    <row r="164" spans="5:6" x14ac:dyDescent="0.25">
      <c r="E164" s="8"/>
      <c r="F164" s="8"/>
    </row>
    <row r="165" spans="5:6" x14ac:dyDescent="0.25">
      <c r="E165" s="8"/>
      <c r="F165" s="8"/>
    </row>
    <row r="166" spans="5:6" x14ac:dyDescent="0.25">
      <c r="E166" s="8"/>
      <c r="F166" s="8"/>
    </row>
    <row r="167" spans="5:6" x14ac:dyDescent="0.25">
      <c r="E167" s="8"/>
      <c r="F167" s="8"/>
    </row>
    <row r="168" spans="5:6" x14ac:dyDescent="0.25">
      <c r="E168" s="8"/>
      <c r="F168" s="8"/>
    </row>
    <row r="169" spans="5:6" x14ac:dyDescent="0.25">
      <c r="E169" s="8"/>
      <c r="F169" s="8"/>
    </row>
    <row r="170" spans="5:6" x14ac:dyDescent="0.25">
      <c r="E170" s="8"/>
      <c r="F170" s="8"/>
    </row>
    <row r="171" spans="5:6" x14ac:dyDescent="0.25">
      <c r="E171" s="8"/>
      <c r="F171" s="8"/>
    </row>
    <row r="172" spans="5:6" x14ac:dyDescent="0.25">
      <c r="E172" s="8"/>
      <c r="F172" s="8"/>
    </row>
    <row r="173" spans="5:6" x14ac:dyDescent="0.25">
      <c r="E173" s="8"/>
      <c r="F173" s="8"/>
    </row>
    <row r="174" spans="5:6" x14ac:dyDescent="0.25">
      <c r="E174" s="8"/>
      <c r="F174" s="8"/>
    </row>
    <row r="175" spans="5:6" x14ac:dyDescent="0.25">
      <c r="E175" s="8"/>
      <c r="F175" s="8"/>
    </row>
    <row r="176" spans="5:6" x14ac:dyDescent="0.25">
      <c r="E176" s="8"/>
      <c r="F176" s="8"/>
    </row>
    <row r="177" spans="5:6" x14ac:dyDescent="0.25">
      <c r="E177" s="8"/>
      <c r="F177" s="8"/>
    </row>
    <row r="178" spans="5:6" x14ac:dyDescent="0.25">
      <c r="E178" s="8"/>
      <c r="F178" s="8"/>
    </row>
    <row r="179" spans="5:6" x14ac:dyDescent="0.25">
      <c r="E179" s="8"/>
      <c r="F179" s="8"/>
    </row>
    <row r="180" spans="5:6" x14ac:dyDescent="0.25">
      <c r="E180" s="8"/>
      <c r="F180" s="8"/>
    </row>
    <row r="181" spans="5:6" x14ac:dyDescent="0.25">
      <c r="E181" s="8"/>
      <c r="F181" s="8"/>
    </row>
    <row r="182" spans="5:6" x14ac:dyDescent="0.25">
      <c r="E182" s="8"/>
      <c r="F182" s="8"/>
    </row>
    <row r="183" spans="5:6" x14ac:dyDescent="0.25">
      <c r="E183" s="8"/>
      <c r="F183" s="8"/>
    </row>
    <row r="184" spans="5:6" x14ac:dyDescent="0.25">
      <c r="E184" s="8"/>
      <c r="F184" s="8"/>
    </row>
    <row r="185" spans="5:6" x14ac:dyDescent="0.25">
      <c r="E185" s="8"/>
      <c r="F185" s="8"/>
    </row>
    <row r="186" spans="5:6" x14ac:dyDescent="0.25">
      <c r="E186" s="8"/>
      <c r="F186" s="8"/>
    </row>
    <row r="187" spans="5:6" x14ac:dyDescent="0.25">
      <c r="E187" s="8"/>
      <c r="F187" s="8"/>
    </row>
    <row r="188" spans="5:6" x14ac:dyDescent="0.25">
      <c r="E188" s="8"/>
      <c r="F188" s="8"/>
    </row>
    <row r="189" spans="5:6" x14ac:dyDescent="0.25">
      <c r="E189" s="8"/>
      <c r="F189" s="8"/>
    </row>
    <row r="190" spans="5:6" x14ac:dyDescent="0.25">
      <c r="E190" s="8"/>
      <c r="F190" s="8"/>
    </row>
    <row r="191" spans="5:6" x14ac:dyDescent="0.25">
      <c r="E191" s="8"/>
      <c r="F191" s="8"/>
    </row>
    <row r="192" spans="5:6" x14ac:dyDescent="0.25">
      <c r="E192" s="8"/>
      <c r="F192" s="8"/>
    </row>
    <row r="193" spans="5:6" x14ac:dyDescent="0.25">
      <c r="E193" s="8"/>
      <c r="F193" s="8"/>
    </row>
    <row r="194" spans="5:6" x14ac:dyDescent="0.25">
      <c r="E194" s="8"/>
      <c r="F194" s="8"/>
    </row>
    <row r="195" spans="5:6" x14ac:dyDescent="0.25">
      <c r="E195" s="8"/>
      <c r="F195" s="8"/>
    </row>
    <row r="196" spans="5:6" x14ac:dyDescent="0.25">
      <c r="E196" s="8"/>
      <c r="F196" s="8"/>
    </row>
    <row r="197" spans="5:6" x14ac:dyDescent="0.25">
      <c r="E197" s="8"/>
      <c r="F197" s="8"/>
    </row>
    <row r="198" spans="5:6" x14ac:dyDescent="0.25">
      <c r="E198" s="8"/>
      <c r="F198" s="8"/>
    </row>
    <row r="199" spans="5:6" x14ac:dyDescent="0.25">
      <c r="E199" s="8"/>
      <c r="F199" s="8"/>
    </row>
    <row r="200" spans="5:6" x14ac:dyDescent="0.25">
      <c r="E200" s="8"/>
      <c r="F200" s="8"/>
    </row>
    <row r="201" spans="5:6" x14ac:dyDescent="0.25">
      <c r="E201" s="8"/>
      <c r="F201" s="8"/>
    </row>
    <row r="202" spans="5:6" x14ac:dyDescent="0.25">
      <c r="E202" s="8"/>
      <c r="F202" s="8"/>
    </row>
    <row r="203" spans="5:6" x14ac:dyDescent="0.25">
      <c r="E203" s="8"/>
      <c r="F203" s="8"/>
    </row>
    <row r="204" spans="5:6" x14ac:dyDescent="0.25">
      <c r="E204" s="8"/>
      <c r="F204" s="8"/>
    </row>
    <row r="205" spans="5:6" x14ac:dyDescent="0.25">
      <c r="E205" s="8"/>
      <c r="F205" s="8"/>
    </row>
    <row r="206" spans="5:6" x14ac:dyDescent="0.25">
      <c r="E206" s="8"/>
      <c r="F206" s="8"/>
    </row>
    <row r="207" spans="5:6" x14ac:dyDescent="0.25">
      <c r="E207" s="8"/>
      <c r="F207" s="8"/>
    </row>
    <row r="208" spans="5:6" x14ac:dyDescent="0.25">
      <c r="E208" s="8"/>
      <c r="F208" s="8"/>
    </row>
    <row r="209" spans="5:6" x14ac:dyDescent="0.25">
      <c r="E209" s="8"/>
      <c r="F209" s="8"/>
    </row>
    <row r="210" spans="5:6" x14ac:dyDescent="0.25">
      <c r="E210" s="8"/>
      <c r="F210" s="8"/>
    </row>
    <row r="211" spans="5:6" x14ac:dyDescent="0.25">
      <c r="E211" s="8"/>
      <c r="F211" s="8"/>
    </row>
    <row r="212" spans="5:6" x14ac:dyDescent="0.25">
      <c r="E212" s="8"/>
      <c r="F212" s="8"/>
    </row>
    <row r="213" spans="5:6" x14ac:dyDescent="0.25">
      <c r="E213" s="8"/>
      <c r="F213" s="8"/>
    </row>
    <row r="214" spans="5:6" x14ac:dyDescent="0.25">
      <c r="E214" s="8"/>
      <c r="F214" s="8"/>
    </row>
    <row r="215" spans="5:6" x14ac:dyDescent="0.25">
      <c r="E215" s="8"/>
      <c r="F215" s="8"/>
    </row>
    <row r="216" spans="5:6" x14ac:dyDescent="0.25">
      <c r="E216" s="8"/>
      <c r="F216" s="8"/>
    </row>
    <row r="217" spans="5:6" x14ac:dyDescent="0.25">
      <c r="E217" s="8"/>
      <c r="F217" s="8"/>
    </row>
    <row r="218" spans="5:6" x14ac:dyDescent="0.25">
      <c r="E218" s="8"/>
      <c r="F218" s="8"/>
    </row>
    <row r="219" spans="5:6" x14ac:dyDescent="0.25">
      <c r="E219" s="8"/>
      <c r="F219" s="8"/>
    </row>
    <row r="220" spans="5:6" x14ac:dyDescent="0.25">
      <c r="E220" s="8"/>
      <c r="F220" s="8"/>
    </row>
    <row r="221" spans="5:6" x14ac:dyDescent="0.25">
      <c r="E221" s="8"/>
      <c r="F221" s="8"/>
    </row>
    <row r="222" spans="5:6" x14ac:dyDescent="0.25">
      <c r="E222" s="8"/>
      <c r="F222" s="8"/>
    </row>
    <row r="223" spans="5:6" x14ac:dyDescent="0.25">
      <c r="E223" s="8"/>
      <c r="F223" s="8"/>
    </row>
    <row r="224" spans="5:6" x14ac:dyDescent="0.25">
      <c r="E224" s="8"/>
      <c r="F224" s="8"/>
    </row>
    <row r="225" spans="5:6" x14ac:dyDescent="0.25">
      <c r="E225" s="8"/>
      <c r="F225" s="8"/>
    </row>
    <row r="226" spans="5:6" x14ac:dyDescent="0.25">
      <c r="E226" s="8"/>
      <c r="F226" s="8"/>
    </row>
    <row r="227" spans="5:6" x14ac:dyDescent="0.25">
      <c r="E227" s="8"/>
      <c r="F227" s="8"/>
    </row>
    <row r="228" spans="5:6" x14ac:dyDescent="0.25">
      <c r="E228" s="8"/>
      <c r="F228" s="8"/>
    </row>
    <row r="229" spans="5:6" x14ac:dyDescent="0.25">
      <c r="E229" s="8"/>
      <c r="F229" s="8"/>
    </row>
    <row r="230" spans="5:6" x14ac:dyDescent="0.25">
      <c r="E230" s="8"/>
      <c r="F230" s="8"/>
    </row>
    <row r="231" spans="5:6" x14ac:dyDescent="0.25">
      <c r="E231" s="8"/>
      <c r="F231" s="8"/>
    </row>
    <row r="232" spans="5:6" x14ac:dyDescent="0.25">
      <c r="E232" s="8"/>
      <c r="F232" s="8"/>
    </row>
    <row r="233" spans="5:6" x14ac:dyDescent="0.25">
      <c r="E233" s="8"/>
      <c r="F233" s="8"/>
    </row>
    <row r="234" spans="5:6" x14ac:dyDescent="0.25">
      <c r="E234" s="8"/>
      <c r="F234" s="8"/>
    </row>
    <row r="235" spans="5:6" x14ac:dyDescent="0.25">
      <c r="E235" s="8"/>
      <c r="F235" s="8"/>
    </row>
    <row r="236" spans="5:6" x14ac:dyDescent="0.25">
      <c r="E236" s="8"/>
      <c r="F236" s="8"/>
    </row>
    <row r="237" spans="5:6" x14ac:dyDescent="0.25">
      <c r="E237" s="8"/>
      <c r="F237" s="8"/>
    </row>
    <row r="238" spans="5:6" x14ac:dyDescent="0.25">
      <c r="E238" s="8"/>
      <c r="F238" s="8"/>
    </row>
    <row r="239" spans="5:6" x14ac:dyDescent="0.25">
      <c r="E239" s="8"/>
      <c r="F239" s="8"/>
    </row>
    <row r="240" spans="5:6" x14ac:dyDescent="0.25">
      <c r="E240" s="8"/>
      <c r="F240" s="8"/>
    </row>
    <row r="241" spans="5:6" x14ac:dyDescent="0.25">
      <c r="E241" s="8"/>
      <c r="F241" s="8"/>
    </row>
    <row r="242" spans="5:6" x14ac:dyDescent="0.25">
      <c r="E242" s="8"/>
      <c r="F242" s="8"/>
    </row>
    <row r="243" spans="5:6" x14ac:dyDescent="0.25">
      <c r="E243" s="8"/>
      <c r="F243" s="8"/>
    </row>
    <row r="244" spans="5:6" x14ac:dyDescent="0.25">
      <c r="E244" s="8"/>
      <c r="F244" s="8"/>
    </row>
    <row r="245" spans="5:6" x14ac:dyDescent="0.25">
      <c r="E245" s="8"/>
      <c r="F245" s="8"/>
    </row>
    <row r="246" spans="5:6" x14ac:dyDescent="0.25">
      <c r="E246" s="8"/>
      <c r="F246" s="8"/>
    </row>
    <row r="247" spans="5:6" x14ac:dyDescent="0.25">
      <c r="E247" s="8"/>
      <c r="F247" s="8"/>
    </row>
    <row r="248" spans="5:6" x14ac:dyDescent="0.25">
      <c r="E248" s="8"/>
      <c r="F248" s="8"/>
    </row>
    <row r="249" spans="5:6" x14ac:dyDescent="0.25">
      <c r="E249" s="8"/>
      <c r="F249" s="8"/>
    </row>
    <row r="250" spans="5:6" x14ac:dyDescent="0.25">
      <c r="E250" s="8"/>
      <c r="F250" s="8"/>
    </row>
    <row r="251" spans="5:6" x14ac:dyDescent="0.25">
      <c r="E251" s="8"/>
      <c r="F251" s="8"/>
    </row>
    <row r="252" spans="5:6" x14ac:dyDescent="0.25">
      <c r="E252" s="8"/>
      <c r="F252" s="8"/>
    </row>
    <row r="253" spans="5:6" x14ac:dyDescent="0.25">
      <c r="E253" s="8"/>
      <c r="F253" s="8"/>
    </row>
    <row r="254" spans="5:6" x14ac:dyDescent="0.25">
      <c r="E254" s="8"/>
      <c r="F254" s="8"/>
    </row>
    <row r="255" spans="5:6" x14ac:dyDescent="0.25">
      <c r="E255" s="8"/>
      <c r="F255" s="8"/>
    </row>
    <row r="256" spans="5:6" x14ac:dyDescent="0.25">
      <c r="E256" s="8"/>
      <c r="F256" s="8"/>
    </row>
    <row r="257" spans="5:6" x14ac:dyDescent="0.25">
      <c r="E257" s="8"/>
      <c r="F257" s="8"/>
    </row>
    <row r="258" spans="5:6" x14ac:dyDescent="0.25">
      <c r="E258" s="8"/>
      <c r="F258" s="8"/>
    </row>
    <row r="259" spans="5:6" x14ac:dyDescent="0.25">
      <c r="E259" s="8"/>
      <c r="F259" s="8"/>
    </row>
    <row r="260" spans="5:6" x14ac:dyDescent="0.25">
      <c r="E260" s="8"/>
      <c r="F260" s="8"/>
    </row>
    <row r="261" spans="5:6" x14ac:dyDescent="0.25">
      <c r="E261" s="8"/>
      <c r="F261" s="8"/>
    </row>
    <row r="262" spans="5:6" x14ac:dyDescent="0.25">
      <c r="E262" s="8"/>
      <c r="F262" s="8"/>
    </row>
    <row r="263" spans="5:6" x14ac:dyDescent="0.25">
      <c r="E263" s="8"/>
      <c r="F263" s="8"/>
    </row>
    <row r="264" spans="5:6" x14ac:dyDescent="0.25">
      <c r="E264" s="8"/>
      <c r="F264" s="8"/>
    </row>
    <row r="265" spans="5:6" x14ac:dyDescent="0.25">
      <c r="E265" s="8"/>
      <c r="F265" s="8"/>
    </row>
    <row r="266" spans="5:6" x14ac:dyDescent="0.25">
      <c r="E266" s="8"/>
      <c r="F266" s="8"/>
    </row>
    <row r="267" spans="5:6" x14ac:dyDescent="0.25">
      <c r="E267" s="8"/>
      <c r="F267" s="8"/>
    </row>
    <row r="268" spans="5:6" x14ac:dyDescent="0.25">
      <c r="E268" s="8"/>
      <c r="F268" s="8"/>
    </row>
    <row r="269" spans="5:6" x14ac:dyDescent="0.25">
      <c r="E269" s="8"/>
      <c r="F269" s="8"/>
    </row>
    <row r="270" spans="5:6" x14ac:dyDescent="0.25">
      <c r="E270" s="8"/>
      <c r="F270" s="8"/>
    </row>
    <row r="271" spans="5:6" x14ac:dyDescent="0.25">
      <c r="E271" s="8"/>
      <c r="F271" s="8"/>
    </row>
    <row r="272" spans="5:6" x14ac:dyDescent="0.25">
      <c r="E272" s="8"/>
      <c r="F272" s="8"/>
    </row>
    <row r="273" spans="5:6" x14ac:dyDescent="0.25">
      <c r="E273" s="8"/>
      <c r="F273" s="8"/>
    </row>
    <row r="274" spans="5:6" x14ac:dyDescent="0.25">
      <c r="E274" s="8"/>
      <c r="F274" s="8"/>
    </row>
    <row r="275" spans="5:6" x14ac:dyDescent="0.25">
      <c r="E275" s="8"/>
      <c r="F275" s="8"/>
    </row>
    <row r="276" spans="5:6" x14ac:dyDescent="0.25">
      <c r="E276" s="8"/>
      <c r="F276" s="8"/>
    </row>
    <row r="277" spans="5:6" x14ac:dyDescent="0.25">
      <c r="E277" s="8"/>
      <c r="F277" s="8"/>
    </row>
    <row r="278" spans="5:6" x14ac:dyDescent="0.25">
      <c r="E278" s="8"/>
      <c r="F278" s="8"/>
    </row>
    <row r="279" spans="5:6" x14ac:dyDescent="0.25">
      <c r="E279" s="8"/>
      <c r="F279" s="8"/>
    </row>
    <row r="280" spans="5:6" x14ac:dyDescent="0.25">
      <c r="E280" s="8"/>
      <c r="F280" s="8"/>
    </row>
    <row r="281" spans="5:6" x14ac:dyDescent="0.25">
      <c r="E281" s="8"/>
      <c r="F281" s="8"/>
    </row>
    <row r="282" spans="5:6" x14ac:dyDescent="0.25">
      <c r="E282" s="8"/>
      <c r="F282" s="8"/>
    </row>
    <row r="283" spans="5:6" x14ac:dyDescent="0.25">
      <c r="E283" s="8"/>
      <c r="F283" s="8"/>
    </row>
    <row r="284" spans="5:6" x14ac:dyDescent="0.25">
      <c r="E284" s="8"/>
      <c r="F284" s="8"/>
    </row>
    <row r="285" spans="5:6" x14ac:dyDescent="0.25">
      <c r="E285" s="8"/>
      <c r="F285" s="8"/>
    </row>
    <row r="286" spans="5:6" x14ac:dyDescent="0.25">
      <c r="E286" s="8"/>
      <c r="F286" s="8"/>
    </row>
    <row r="287" spans="5:6" x14ac:dyDescent="0.25">
      <c r="E287" s="8"/>
      <c r="F287" s="8"/>
    </row>
    <row r="288" spans="5:6" x14ac:dyDescent="0.25">
      <c r="E288" s="8"/>
      <c r="F288" s="8"/>
    </row>
    <row r="289" spans="5:6" x14ac:dyDescent="0.25">
      <c r="E289" s="8"/>
      <c r="F289" s="8"/>
    </row>
    <row r="290" spans="5:6" x14ac:dyDescent="0.25">
      <c r="E290" s="8"/>
      <c r="F290" s="8"/>
    </row>
    <row r="291" spans="5:6" x14ac:dyDescent="0.25">
      <c r="E291" s="8"/>
      <c r="F291" s="8"/>
    </row>
    <row r="292" spans="5:6" x14ac:dyDescent="0.25">
      <c r="E292" s="8"/>
      <c r="F292" s="8"/>
    </row>
    <row r="293" spans="5:6" x14ac:dyDescent="0.25">
      <c r="E293" s="8"/>
      <c r="F293" s="8"/>
    </row>
    <row r="294" spans="5:6" x14ac:dyDescent="0.25">
      <c r="E294" s="8"/>
      <c r="F294" s="8"/>
    </row>
    <row r="295" spans="5:6" x14ac:dyDescent="0.25">
      <c r="E295" s="8"/>
      <c r="F295" s="8"/>
    </row>
    <row r="296" spans="5:6" x14ac:dyDescent="0.25">
      <c r="E296" s="8"/>
      <c r="F296" s="8"/>
    </row>
    <row r="297" spans="5:6" x14ac:dyDescent="0.25">
      <c r="E297" s="8"/>
      <c r="F297" s="8"/>
    </row>
    <row r="298" spans="5:6" x14ac:dyDescent="0.25">
      <c r="E298" s="8"/>
      <c r="F298" s="8"/>
    </row>
    <row r="299" spans="5:6" x14ac:dyDescent="0.25">
      <c r="E299" s="8"/>
      <c r="F299" s="8"/>
    </row>
    <row r="300" spans="5:6" x14ac:dyDescent="0.25">
      <c r="E300" s="8"/>
      <c r="F300" s="8"/>
    </row>
    <row r="301" spans="5:6" x14ac:dyDescent="0.25">
      <c r="E301" s="8"/>
      <c r="F301" s="8"/>
    </row>
    <row r="302" spans="5:6" x14ac:dyDescent="0.25">
      <c r="E302" s="8"/>
      <c r="F302" s="8"/>
    </row>
    <row r="303" spans="5:6" x14ac:dyDescent="0.25">
      <c r="E303" s="8"/>
      <c r="F303" s="8"/>
    </row>
    <row r="304" spans="5:6" x14ac:dyDescent="0.25">
      <c r="E304" s="8"/>
      <c r="F304" s="8"/>
    </row>
    <row r="305" spans="5:6" x14ac:dyDescent="0.25">
      <c r="E305" s="8"/>
      <c r="F305" s="8"/>
    </row>
    <row r="306" spans="5:6" x14ac:dyDescent="0.25">
      <c r="E306" s="8"/>
      <c r="F306" s="8"/>
    </row>
    <row r="307" spans="5:6" x14ac:dyDescent="0.25">
      <c r="E307" s="8"/>
      <c r="F307" s="8"/>
    </row>
    <row r="308" spans="5:6" x14ac:dyDescent="0.25">
      <c r="E308" s="8"/>
      <c r="F308" s="8"/>
    </row>
    <row r="309" spans="5:6" x14ac:dyDescent="0.25">
      <c r="E309" s="8"/>
      <c r="F309" s="8"/>
    </row>
    <row r="310" spans="5:6" x14ac:dyDescent="0.25">
      <c r="E310" s="8"/>
      <c r="F310" s="8"/>
    </row>
    <row r="311" spans="5:6" x14ac:dyDescent="0.25">
      <c r="E311" s="8"/>
      <c r="F311" s="8"/>
    </row>
    <row r="312" spans="5:6" x14ac:dyDescent="0.25">
      <c r="E312" s="8"/>
      <c r="F312" s="8"/>
    </row>
    <row r="313" spans="5:6" x14ac:dyDescent="0.25">
      <c r="E313" s="8"/>
      <c r="F313" s="8"/>
    </row>
    <row r="314" spans="5:6" x14ac:dyDescent="0.25">
      <c r="E314" s="8"/>
      <c r="F314" s="8"/>
    </row>
    <row r="315" spans="5:6" x14ac:dyDescent="0.25">
      <c r="E315" s="8"/>
      <c r="F315" s="8"/>
    </row>
    <row r="316" spans="5:6" x14ac:dyDescent="0.25">
      <c r="E316" s="8"/>
      <c r="F316" s="8"/>
    </row>
    <row r="317" spans="5:6" x14ac:dyDescent="0.25">
      <c r="E317" s="8"/>
      <c r="F317" s="8"/>
    </row>
    <row r="318" spans="5:6" x14ac:dyDescent="0.25">
      <c r="E318" s="8"/>
      <c r="F318" s="8"/>
    </row>
    <row r="319" spans="5:6" x14ac:dyDescent="0.25">
      <c r="E319" s="8"/>
      <c r="F319" s="8"/>
    </row>
    <row r="320" spans="5:6" x14ac:dyDescent="0.25">
      <c r="E320" s="8"/>
      <c r="F320" s="8"/>
    </row>
    <row r="321" spans="5:6" x14ac:dyDescent="0.25">
      <c r="E321" s="8"/>
      <c r="F321" s="8"/>
    </row>
    <row r="322" spans="5:6" x14ac:dyDescent="0.25">
      <c r="E322" s="8"/>
      <c r="F322" s="8"/>
    </row>
    <row r="323" spans="5:6" x14ac:dyDescent="0.25">
      <c r="E323" s="8"/>
      <c r="F323" s="8"/>
    </row>
    <row r="324" spans="5:6" x14ac:dyDescent="0.25">
      <c r="E324" s="8"/>
      <c r="F324" s="8"/>
    </row>
    <row r="325" spans="5:6" x14ac:dyDescent="0.25">
      <c r="E325" s="8"/>
      <c r="F325" s="8"/>
    </row>
    <row r="326" spans="5:6" x14ac:dyDescent="0.25">
      <c r="E326" s="8"/>
      <c r="F326" s="8"/>
    </row>
    <row r="327" spans="5:6" x14ac:dyDescent="0.25">
      <c r="E327" s="8"/>
      <c r="F327" s="8"/>
    </row>
    <row r="328" spans="5:6" x14ac:dyDescent="0.25">
      <c r="E328" s="8"/>
      <c r="F328" s="8"/>
    </row>
    <row r="329" spans="5:6" x14ac:dyDescent="0.25">
      <c r="E329" s="8"/>
      <c r="F329" s="8"/>
    </row>
    <row r="330" spans="5:6" x14ac:dyDescent="0.25">
      <c r="E330" s="8"/>
      <c r="F330" s="8"/>
    </row>
    <row r="331" spans="5:6" x14ac:dyDescent="0.25">
      <c r="E331" s="8"/>
      <c r="F331" s="8"/>
    </row>
    <row r="332" spans="5:6" x14ac:dyDescent="0.25">
      <c r="E332" s="8"/>
      <c r="F332" s="8"/>
    </row>
    <row r="333" spans="5:6" x14ac:dyDescent="0.25">
      <c r="E333" s="8"/>
      <c r="F333" s="8"/>
    </row>
    <row r="334" spans="5:6" x14ac:dyDescent="0.25">
      <c r="E334" s="8"/>
      <c r="F334" s="8"/>
    </row>
    <row r="335" spans="5:6" x14ac:dyDescent="0.25">
      <c r="E335" s="8"/>
      <c r="F335" s="8"/>
    </row>
    <row r="336" spans="5:6" x14ac:dyDescent="0.25">
      <c r="E336" s="8"/>
      <c r="F336" s="8"/>
    </row>
    <row r="337" spans="5:6" x14ac:dyDescent="0.25">
      <c r="E337" s="8"/>
      <c r="F337" s="8"/>
    </row>
    <row r="338" spans="5:6" x14ac:dyDescent="0.25">
      <c r="E338" s="8"/>
      <c r="F338" s="8"/>
    </row>
    <row r="339" spans="5:6" x14ac:dyDescent="0.25">
      <c r="E339" s="8"/>
      <c r="F339" s="8"/>
    </row>
    <row r="340" spans="5:6" x14ac:dyDescent="0.25">
      <c r="E340" s="8"/>
      <c r="F340" s="8"/>
    </row>
    <row r="341" spans="5:6" x14ac:dyDescent="0.25">
      <c r="E341" s="8"/>
      <c r="F341" s="8"/>
    </row>
    <row r="342" spans="5:6" x14ac:dyDescent="0.25">
      <c r="E342" s="8"/>
      <c r="F342" s="8"/>
    </row>
    <row r="343" spans="5:6" x14ac:dyDescent="0.25">
      <c r="E343" s="8"/>
      <c r="F343" s="8"/>
    </row>
    <row r="344" spans="5:6" x14ac:dyDescent="0.25">
      <c r="E344" s="8"/>
      <c r="F344" s="8"/>
    </row>
    <row r="345" spans="5:6" x14ac:dyDescent="0.25">
      <c r="E345" s="8"/>
      <c r="F345" s="8"/>
    </row>
    <row r="346" spans="5:6" x14ac:dyDescent="0.25">
      <c r="E346" s="8"/>
      <c r="F346" s="8"/>
    </row>
    <row r="347" spans="5:6" x14ac:dyDescent="0.25">
      <c r="E347" s="8"/>
      <c r="F347" s="8"/>
    </row>
    <row r="348" spans="5:6" x14ac:dyDescent="0.25">
      <c r="E348" s="8"/>
      <c r="F348" s="8"/>
    </row>
    <row r="349" spans="5:6" x14ac:dyDescent="0.25">
      <c r="E349" s="8"/>
      <c r="F349" s="8"/>
    </row>
    <row r="350" spans="5:6" x14ac:dyDescent="0.25">
      <c r="E350" s="8"/>
      <c r="F350" s="8"/>
    </row>
    <row r="351" spans="5:6" x14ac:dyDescent="0.25">
      <c r="E351" s="8"/>
      <c r="F351" s="8"/>
    </row>
    <row r="352" spans="5:6" x14ac:dyDescent="0.25">
      <c r="E352" s="8"/>
      <c r="F352" s="8"/>
    </row>
    <row r="353" spans="5:6" x14ac:dyDescent="0.25">
      <c r="E353" s="8"/>
      <c r="F353" s="8"/>
    </row>
    <row r="354" spans="5:6" x14ac:dyDescent="0.25">
      <c r="E354" s="8"/>
      <c r="F354" s="8"/>
    </row>
    <row r="355" spans="5:6" x14ac:dyDescent="0.25">
      <c r="E355" s="8"/>
      <c r="F355" s="8"/>
    </row>
    <row r="356" spans="5:6" x14ac:dyDescent="0.25">
      <c r="E356" s="8"/>
      <c r="F356" s="8"/>
    </row>
    <row r="357" spans="5:6" x14ac:dyDescent="0.25">
      <c r="E357" s="8"/>
      <c r="F357" s="8"/>
    </row>
    <row r="358" spans="5:6" x14ac:dyDescent="0.25">
      <c r="E358" s="8"/>
      <c r="F358" s="8"/>
    </row>
    <row r="359" spans="5:6" x14ac:dyDescent="0.25">
      <c r="E359" s="8"/>
      <c r="F359" s="8"/>
    </row>
    <row r="360" spans="5:6" x14ac:dyDescent="0.25">
      <c r="E360" s="8"/>
      <c r="F360" s="8"/>
    </row>
    <row r="361" spans="5:6" x14ac:dyDescent="0.25">
      <c r="E361" s="8"/>
      <c r="F361" s="8"/>
    </row>
    <row r="362" spans="5:6" x14ac:dyDescent="0.25">
      <c r="E362" s="8"/>
      <c r="F362" s="8"/>
    </row>
    <row r="363" spans="5:6" x14ac:dyDescent="0.25">
      <c r="E363" s="8"/>
      <c r="F363" s="8"/>
    </row>
    <row r="364" spans="5:6" x14ac:dyDescent="0.25">
      <c r="E364" s="8"/>
      <c r="F364" s="8"/>
    </row>
    <row r="365" spans="5:6" x14ac:dyDescent="0.25">
      <c r="E365" s="8"/>
      <c r="F365" s="8"/>
    </row>
    <row r="366" spans="5:6" x14ac:dyDescent="0.25">
      <c r="E366" s="8"/>
      <c r="F366" s="8"/>
    </row>
    <row r="367" spans="5:6" x14ac:dyDescent="0.25">
      <c r="E367" s="8"/>
      <c r="F367" s="8"/>
    </row>
    <row r="368" spans="5:6" x14ac:dyDescent="0.25">
      <c r="E368" s="8"/>
      <c r="F368" s="8"/>
    </row>
    <row r="369" spans="5:6" x14ac:dyDescent="0.25">
      <c r="E369" s="8"/>
      <c r="F369" s="8"/>
    </row>
    <row r="370" spans="5:6" x14ac:dyDescent="0.25">
      <c r="E370" s="8"/>
      <c r="F370" s="8"/>
    </row>
    <row r="371" spans="5:6" x14ac:dyDescent="0.25">
      <c r="E371" s="8"/>
      <c r="F371" s="8"/>
    </row>
    <row r="372" spans="5:6" x14ac:dyDescent="0.25">
      <c r="E372" s="8"/>
      <c r="F372" s="8"/>
    </row>
    <row r="373" spans="5:6" x14ac:dyDescent="0.25">
      <c r="E373" s="8"/>
      <c r="F373" s="8"/>
    </row>
    <row r="374" spans="5:6" x14ac:dyDescent="0.25">
      <c r="E374" s="8"/>
      <c r="F374" s="8"/>
    </row>
    <row r="375" spans="5:6" x14ac:dyDescent="0.25">
      <c r="E375" s="8"/>
      <c r="F375" s="8"/>
    </row>
    <row r="376" spans="5:6" x14ac:dyDescent="0.25">
      <c r="E376" s="8"/>
      <c r="F376" s="8"/>
    </row>
    <row r="377" spans="5:6" x14ac:dyDescent="0.25">
      <c r="E377" s="8"/>
      <c r="F377" s="8"/>
    </row>
    <row r="378" spans="5:6" x14ac:dyDescent="0.25">
      <c r="E378" s="8"/>
      <c r="F378" s="8"/>
    </row>
    <row r="379" spans="5:6" x14ac:dyDescent="0.25">
      <c r="E379" s="8"/>
      <c r="F379" s="8"/>
    </row>
    <row r="380" spans="5:6" x14ac:dyDescent="0.25">
      <c r="E380" s="8"/>
      <c r="F380" s="8"/>
    </row>
    <row r="381" spans="5:6" x14ac:dyDescent="0.25">
      <c r="E381" s="8"/>
      <c r="F381" s="8"/>
    </row>
    <row r="382" spans="5:6" x14ac:dyDescent="0.25">
      <c r="E382" s="8"/>
      <c r="F382" s="8"/>
    </row>
    <row r="383" spans="5:6" x14ac:dyDescent="0.25">
      <c r="E383" s="8"/>
      <c r="F383" s="8"/>
    </row>
    <row r="384" spans="5:6" x14ac:dyDescent="0.25">
      <c r="E384" s="8"/>
      <c r="F384" s="8"/>
    </row>
    <row r="385" spans="5:6" x14ac:dyDescent="0.25">
      <c r="E385" s="8"/>
      <c r="F385" s="8"/>
    </row>
    <row r="386" spans="5:6" x14ac:dyDescent="0.25">
      <c r="E386" s="8"/>
      <c r="F386" s="8"/>
    </row>
  </sheetData>
  <autoFilter ref="B10:H18" xr:uid="{00000000-0009-0000-0000-000001000000}"/>
  <mergeCells count="18">
    <mergeCell ref="A6:B6"/>
    <mergeCell ref="C6:H6"/>
    <mergeCell ref="A7:B7"/>
    <mergeCell ref="A8:B8"/>
    <mergeCell ref="C8:H8"/>
    <mergeCell ref="A5:B5"/>
    <mergeCell ref="C5:H5"/>
    <mergeCell ref="A1:H1"/>
    <mergeCell ref="A2:B3"/>
    <mergeCell ref="C2:H3"/>
    <mergeCell ref="A4:B4"/>
    <mergeCell ref="C4:H4"/>
    <mergeCell ref="B22:H22"/>
    <mergeCell ref="C23:G23"/>
    <mergeCell ref="B24:H24"/>
    <mergeCell ref="C25:G25"/>
    <mergeCell ref="A9:B9"/>
    <mergeCell ref="C9:H9"/>
  </mergeCells>
  <pageMargins left="0.39370078740157483" right="0.39370078740157483" top="0.78740157480314965" bottom="0.39370078740157483" header="0" footer="0"/>
  <pageSetup paperSize="9" scale="63" fitToHeight="0" orientation="landscape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17"/>
  <sheetViews>
    <sheetView view="pageBreakPreview" zoomScale="85" zoomScaleNormal="85" zoomScaleSheetLayoutView="85" workbookViewId="0">
      <selection activeCell="C5" sqref="C5:H5"/>
    </sheetView>
  </sheetViews>
  <sheetFormatPr defaultColWidth="9.140625" defaultRowHeight="15.75" x14ac:dyDescent="0.25"/>
  <cols>
    <col min="1" max="1" width="5.42578125" style="8" customWidth="1"/>
    <col min="2" max="2" width="32.85546875" style="8" customWidth="1"/>
    <col min="3" max="3" width="84.28515625" style="19" customWidth="1"/>
    <col min="4" max="4" width="19.28515625" style="8" customWidth="1"/>
    <col min="5" max="6" width="15.140625" style="9" customWidth="1"/>
    <col min="7" max="7" width="20.7109375" style="18" customWidth="1"/>
    <col min="8" max="8" width="28.7109375" style="8" customWidth="1"/>
    <col min="9" max="11" width="9.140625" style="8"/>
    <col min="12" max="12" width="11.85546875" style="8" bestFit="1" customWidth="1"/>
    <col min="13" max="17" width="9.140625" style="8"/>
    <col min="18" max="16384" width="9.140625" style="16"/>
  </cols>
  <sheetData>
    <row r="1" spans="1:13" s="8" customFormat="1" x14ac:dyDescent="0.25">
      <c r="A1" s="88" t="s">
        <v>92</v>
      </c>
      <c r="B1" s="88"/>
      <c r="C1" s="88"/>
      <c r="D1" s="88"/>
      <c r="E1" s="88"/>
      <c r="F1" s="88"/>
      <c r="G1" s="88"/>
      <c r="H1" s="88"/>
    </row>
    <row r="2" spans="1:13" s="8" customFormat="1" ht="15.75" customHeight="1" x14ac:dyDescent="0.25">
      <c r="A2" s="89" t="s">
        <v>0</v>
      </c>
      <c r="B2" s="89"/>
      <c r="C2" s="87" t="s">
        <v>21</v>
      </c>
      <c r="D2" s="87"/>
      <c r="E2" s="87"/>
      <c r="F2" s="87"/>
      <c r="G2" s="87"/>
      <c r="H2" s="87"/>
    </row>
    <row r="3" spans="1:13" s="8" customFormat="1" x14ac:dyDescent="0.25">
      <c r="A3" s="89"/>
      <c r="B3" s="89"/>
      <c r="C3" s="87"/>
      <c r="D3" s="87"/>
      <c r="E3" s="87"/>
      <c r="F3" s="87"/>
      <c r="G3" s="87"/>
      <c r="H3" s="87"/>
    </row>
    <row r="4" spans="1:13" s="8" customFormat="1" x14ac:dyDescent="0.25">
      <c r="A4" s="86" t="s">
        <v>1</v>
      </c>
      <c r="B4" s="86"/>
      <c r="C4" s="90" t="s">
        <v>19</v>
      </c>
      <c r="D4" s="90"/>
      <c r="E4" s="90"/>
      <c r="F4" s="90"/>
      <c r="G4" s="90"/>
      <c r="H4" s="90"/>
    </row>
    <row r="5" spans="1:13" s="8" customFormat="1" ht="33.75" customHeight="1" x14ac:dyDescent="0.25">
      <c r="A5" s="86" t="s">
        <v>2</v>
      </c>
      <c r="B5" s="86"/>
      <c r="C5" s="90" t="s">
        <v>3</v>
      </c>
      <c r="D5" s="90"/>
      <c r="E5" s="90"/>
      <c r="F5" s="90"/>
      <c r="G5" s="90"/>
      <c r="H5" s="90"/>
    </row>
    <row r="6" spans="1:13" s="8" customFormat="1" ht="33.75" customHeight="1" x14ac:dyDescent="0.25">
      <c r="A6" s="89" t="s">
        <v>4</v>
      </c>
      <c r="B6" s="89"/>
      <c r="C6" s="90" t="s">
        <v>5</v>
      </c>
      <c r="D6" s="90"/>
      <c r="E6" s="90"/>
      <c r="F6" s="90"/>
      <c r="G6" s="90"/>
      <c r="H6" s="90"/>
    </row>
    <row r="7" spans="1:13" s="8" customFormat="1" x14ac:dyDescent="0.25">
      <c r="A7" s="89" t="s">
        <v>6</v>
      </c>
      <c r="B7" s="89"/>
      <c r="C7" s="1" t="s">
        <v>7</v>
      </c>
      <c r="D7" s="2"/>
      <c r="E7" s="2"/>
      <c r="F7" s="2"/>
      <c r="G7" s="17"/>
      <c r="H7" s="2"/>
    </row>
    <row r="8" spans="1:13" s="8" customFormat="1" x14ac:dyDescent="0.25">
      <c r="A8" s="86" t="s">
        <v>8</v>
      </c>
      <c r="B8" s="86"/>
      <c r="C8" s="90" t="s">
        <v>39</v>
      </c>
      <c r="D8" s="90"/>
      <c r="E8" s="90"/>
      <c r="F8" s="90"/>
      <c r="G8" s="90"/>
      <c r="H8" s="90"/>
    </row>
    <row r="9" spans="1:13" s="8" customFormat="1" x14ac:dyDescent="0.25">
      <c r="A9" s="86" t="s">
        <v>9</v>
      </c>
      <c r="B9" s="86"/>
      <c r="C9" s="90" t="s">
        <v>38</v>
      </c>
      <c r="D9" s="90"/>
      <c r="E9" s="90"/>
      <c r="F9" s="90"/>
      <c r="G9" s="90"/>
      <c r="H9" s="90"/>
    </row>
    <row r="10" spans="1:13" s="8" customFormat="1" ht="63" x14ac:dyDescent="0.25">
      <c r="A10" s="3" t="s">
        <v>10</v>
      </c>
      <c r="B10" s="3" t="s">
        <v>11</v>
      </c>
      <c r="C10" s="3" t="s">
        <v>15</v>
      </c>
      <c r="D10" s="3" t="s">
        <v>20</v>
      </c>
      <c r="E10" s="4" t="s">
        <v>22</v>
      </c>
      <c r="F10" s="4" t="s">
        <v>12</v>
      </c>
      <c r="G10" s="3" t="s">
        <v>13</v>
      </c>
      <c r="H10" s="3" t="s">
        <v>14</v>
      </c>
    </row>
    <row r="11" spans="1:13" s="8" customFormat="1" x14ac:dyDescent="0.25">
      <c r="A11" s="3">
        <v>1</v>
      </c>
      <c r="B11" s="3">
        <v>2</v>
      </c>
      <c r="C11" s="3">
        <v>3</v>
      </c>
      <c r="D11" s="3">
        <v>4</v>
      </c>
      <c r="E11" s="4">
        <v>5</v>
      </c>
      <c r="F11" s="4">
        <v>6</v>
      </c>
      <c r="G11" s="3">
        <v>7</v>
      </c>
      <c r="H11" s="3">
        <v>8</v>
      </c>
    </row>
    <row r="12" spans="1:13" s="8" customFormat="1" ht="57" x14ac:dyDescent="0.25">
      <c r="A12" s="41">
        <v>1</v>
      </c>
      <c r="B12" s="42" t="s">
        <v>40</v>
      </c>
      <c r="C12" s="43" t="s">
        <v>79</v>
      </c>
      <c r="D12" s="44">
        <v>44945</v>
      </c>
      <c r="E12" s="45">
        <v>1</v>
      </c>
      <c r="F12" s="45">
        <v>1</v>
      </c>
      <c r="G12" s="42" t="s">
        <v>23</v>
      </c>
      <c r="H12" s="41"/>
      <c r="L12" s="13"/>
      <c r="M12" s="13"/>
    </row>
    <row r="13" spans="1:13" s="8" customFormat="1" ht="30" x14ac:dyDescent="0.25">
      <c r="A13" s="20">
        <v>2</v>
      </c>
      <c r="B13" s="21" t="s">
        <v>24</v>
      </c>
      <c r="C13" s="28" t="s">
        <v>41</v>
      </c>
      <c r="D13" s="40">
        <f>D12</f>
        <v>44945</v>
      </c>
      <c r="E13" s="22">
        <v>1</v>
      </c>
      <c r="F13" s="22">
        <v>1</v>
      </c>
      <c r="G13" s="21"/>
      <c r="H13" s="20"/>
      <c r="L13" s="13"/>
      <c r="M13" s="13"/>
    </row>
    <row r="14" spans="1:13" s="8" customFormat="1" ht="30" x14ac:dyDescent="0.25">
      <c r="A14" s="20">
        <v>3</v>
      </c>
      <c r="B14" s="21" t="s">
        <v>35</v>
      </c>
      <c r="C14" s="28" t="s">
        <v>42</v>
      </c>
      <c r="D14" s="40">
        <f>D12</f>
        <v>44945</v>
      </c>
      <c r="E14" s="22">
        <v>1</v>
      </c>
      <c r="F14" s="22">
        <v>1</v>
      </c>
      <c r="G14" s="21"/>
      <c r="H14" s="20"/>
    </row>
    <row r="15" spans="1:13" s="8" customFormat="1" ht="30" x14ac:dyDescent="0.25">
      <c r="A15" s="20">
        <v>4</v>
      </c>
      <c r="B15" s="23" t="s">
        <v>37</v>
      </c>
      <c r="C15" s="28" t="s">
        <v>43</v>
      </c>
      <c r="D15" s="40">
        <f>D12</f>
        <v>44945</v>
      </c>
      <c r="E15" s="24">
        <v>1</v>
      </c>
      <c r="F15" s="22">
        <v>1</v>
      </c>
      <c r="G15" s="21"/>
      <c r="H15" s="20"/>
    </row>
    <row r="16" spans="1:13" s="8" customFormat="1" x14ac:dyDescent="0.25">
      <c r="A16" s="20">
        <v>5</v>
      </c>
      <c r="B16" s="21" t="s">
        <v>24</v>
      </c>
      <c r="C16" s="28" t="s">
        <v>25</v>
      </c>
      <c r="D16" s="21" t="s">
        <v>26</v>
      </c>
      <c r="E16" s="22">
        <v>1</v>
      </c>
      <c r="F16" s="22">
        <v>1</v>
      </c>
      <c r="G16" s="21"/>
      <c r="H16" s="20"/>
    </row>
    <row r="17" spans="1:13" s="8" customFormat="1" ht="30" x14ac:dyDescent="0.25">
      <c r="A17" s="20">
        <v>6</v>
      </c>
      <c r="B17" s="23" t="s">
        <v>29</v>
      </c>
      <c r="C17" s="28" t="s">
        <v>27</v>
      </c>
      <c r="D17" s="21" t="s">
        <v>31</v>
      </c>
      <c r="E17" s="24">
        <v>1</v>
      </c>
      <c r="F17" s="22">
        <v>1</v>
      </c>
      <c r="G17" s="21"/>
      <c r="H17" s="20"/>
    </row>
    <row r="18" spans="1:13" s="8" customFormat="1" ht="30" x14ac:dyDescent="0.25">
      <c r="A18" s="20">
        <v>7</v>
      </c>
      <c r="B18" s="23" t="s">
        <v>30</v>
      </c>
      <c r="C18" s="25" t="s">
        <v>28</v>
      </c>
      <c r="D18" s="23" t="s">
        <v>32</v>
      </c>
      <c r="E18" s="24">
        <v>1</v>
      </c>
      <c r="F18" s="22">
        <v>1</v>
      </c>
      <c r="G18" s="21"/>
      <c r="H18" s="20"/>
    </row>
    <row r="19" spans="1:13" s="8" customFormat="1" x14ac:dyDescent="0.25">
      <c r="A19" s="20">
        <v>8</v>
      </c>
      <c r="B19" s="46" t="s">
        <v>34</v>
      </c>
      <c r="C19" s="25" t="s">
        <v>36</v>
      </c>
      <c r="D19" s="46">
        <v>44774</v>
      </c>
      <c r="E19" s="24">
        <v>1</v>
      </c>
      <c r="F19" s="22">
        <v>50</v>
      </c>
      <c r="G19" s="21"/>
      <c r="H19" s="20"/>
    </row>
    <row r="20" spans="1:13" s="8" customFormat="1" ht="20.100000000000001" customHeight="1" x14ac:dyDescent="0.25">
      <c r="A20" s="20">
        <v>9</v>
      </c>
      <c r="B20" s="46" t="s">
        <v>34</v>
      </c>
      <c r="C20" s="26" t="s">
        <v>33</v>
      </c>
      <c r="D20" s="46">
        <v>44774</v>
      </c>
      <c r="E20" s="24">
        <v>1</v>
      </c>
      <c r="F20" s="22">
        <v>1</v>
      </c>
      <c r="G20" s="21"/>
      <c r="H20" s="20"/>
    </row>
    <row r="21" spans="1:13" s="8" customFormat="1" ht="57" x14ac:dyDescent="0.25">
      <c r="A21" s="41">
        <v>10</v>
      </c>
      <c r="B21" s="42" t="s">
        <v>44</v>
      </c>
      <c r="C21" s="43" t="s">
        <v>80</v>
      </c>
      <c r="D21" s="44">
        <v>44946</v>
      </c>
      <c r="E21" s="45">
        <v>1</v>
      </c>
      <c r="F21" s="45">
        <v>1</v>
      </c>
      <c r="G21" s="42" t="s">
        <v>23</v>
      </c>
      <c r="H21" s="41"/>
      <c r="L21" s="13"/>
      <c r="M21" s="13"/>
    </row>
    <row r="22" spans="1:13" s="8" customFormat="1" ht="30" x14ac:dyDescent="0.25">
      <c r="A22" s="20">
        <v>11</v>
      </c>
      <c r="B22" s="23" t="s">
        <v>24</v>
      </c>
      <c r="C22" s="28" t="s">
        <v>45</v>
      </c>
      <c r="D22" s="40">
        <f>D21</f>
        <v>44946</v>
      </c>
      <c r="E22" s="24">
        <v>1</v>
      </c>
      <c r="F22" s="22">
        <v>1</v>
      </c>
      <c r="G22" s="21"/>
      <c r="H22" s="20"/>
    </row>
    <row r="23" spans="1:13" s="8" customFormat="1" ht="30" x14ac:dyDescent="0.25">
      <c r="A23" s="20">
        <v>12</v>
      </c>
      <c r="B23" s="23" t="s">
        <v>35</v>
      </c>
      <c r="C23" s="25" t="s">
        <v>46</v>
      </c>
      <c r="D23" s="27">
        <f>D21</f>
        <v>44946</v>
      </c>
      <c r="E23" s="24">
        <v>1</v>
      </c>
      <c r="F23" s="22">
        <v>1</v>
      </c>
      <c r="G23" s="21"/>
      <c r="H23" s="20"/>
    </row>
    <row r="24" spans="1:13" s="8" customFormat="1" x14ac:dyDescent="0.25">
      <c r="A24" s="20">
        <v>13</v>
      </c>
      <c r="B24" s="21" t="s">
        <v>24</v>
      </c>
      <c r="C24" s="28" t="s">
        <v>25</v>
      </c>
      <c r="D24" s="21" t="s">
        <v>26</v>
      </c>
      <c r="E24" s="22">
        <v>1</v>
      </c>
      <c r="F24" s="22">
        <v>1</v>
      </c>
      <c r="G24" s="21"/>
      <c r="H24" s="20"/>
    </row>
    <row r="25" spans="1:13" s="8" customFormat="1" ht="30" x14ac:dyDescent="0.25">
      <c r="A25" s="20">
        <v>14</v>
      </c>
      <c r="B25" s="23" t="s">
        <v>29</v>
      </c>
      <c r="C25" s="28" t="s">
        <v>27</v>
      </c>
      <c r="D25" s="21" t="s">
        <v>31</v>
      </c>
      <c r="E25" s="24">
        <v>1</v>
      </c>
      <c r="F25" s="22">
        <v>1</v>
      </c>
      <c r="G25" s="21"/>
      <c r="H25" s="20"/>
    </row>
    <row r="26" spans="1:13" s="8" customFormat="1" ht="30" x14ac:dyDescent="0.25">
      <c r="A26" s="20">
        <v>15</v>
      </c>
      <c r="B26" s="23" t="s">
        <v>30</v>
      </c>
      <c r="C26" s="25" t="s">
        <v>28</v>
      </c>
      <c r="D26" s="23" t="s">
        <v>32</v>
      </c>
      <c r="E26" s="24">
        <v>1</v>
      </c>
      <c r="F26" s="22">
        <v>1</v>
      </c>
      <c r="G26" s="21"/>
      <c r="H26" s="20"/>
    </row>
    <row r="27" spans="1:13" s="8" customFormat="1" x14ac:dyDescent="0.25">
      <c r="A27" s="20">
        <v>16</v>
      </c>
      <c r="B27" s="46" t="s">
        <v>34</v>
      </c>
      <c r="C27" s="25" t="s">
        <v>36</v>
      </c>
      <c r="D27" s="46">
        <v>44774</v>
      </c>
      <c r="E27" s="24">
        <v>1</v>
      </c>
      <c r="F27" s="22">
        <v>22</v>
      </c>
      <c r="G27" s="21"/>
      <c r="H27" s="20"/>
    </row>
    <row r="28" spans="1:13" s="8" customFormat="1" ht="20.100000000000001" customHeight="1" x14ac:dyDescent="0.25">
      <c r="A28" s="20">
        <v>17</v>
      </c>
      <c r="B28" s="46" t="s">
        <v>34</v>
      </c>
      <c r="C28" s="26" t="s">
        <v>33</v>
      </c>
      <c r="D28" s="46">
        <v>44774</v>
      </c>
      <c r="E28" s="24">
        <v>1</v>
      </c>
      <c r="F28" s="22">
        <v>1</v>
      </c>
      <c r="G28" s="21"/>
      <c r="H28" s="20"/>
    </row>
    <row r="29" spans="1:13" s="8" customFormat="1" ht="57" x14ac:dyDescent="0.25">
      <c r="A29" s="41">
        <v>18</v>
      </c>
      <c r="B29" s="42" t="s">
        <v>47</v>
      </c>
      <c r="C29" s="43" t="s">
        <v>81</v>
      </c>
      <c r="D29" s="44">
        <v>44946</v>
      </c>
      <c r="E29" s="45">
        <v>1</v>
      </c>
      <c r="F29" s="45">
        <v>1</v>
      </c>
      <c r="G29" s="42" t="s">
        <v>23</v>
      </c>
      <c r="H29" s="41"/>
      <c r="L29" s="13"/>
      <c r="M29" s="13"/>
    </row>
    <row r="30" spans="1:13" s="8" customFormat="1" ht="30" x14ac:dyDescent="0.25">
      <c r="A30" s="20">
        <v>19</v>
      </c>
      <c r="B30" s="46" t="s">
        <v>24</v>
      </c>
      <c r="C30" s="26" t="s">
        <v>48</v>
      </c>
      <c r="D30" s="40">
        <f>$D$29</f>
        <v>44946</v>
      </c>
      <c r="E30" s="24"/>
      <c r="F30" s="22"/>
      <c r="G30" s="21"/>
      <c r="H30" s="20"/>
    </row>
    <row r="31" spans="1:13" s="8" customFormat="1" ht="30" x14ac:dyDescent="0.25">
      <c r="A31" s="20">
        <v>20</v>
      </c>
      <c r="B31" s="46" t="s">
        <v>35</v>
      </c>
      <c r="C31" s="26" t="s">
        <v>49</v>
      </c>
      <c r="D31" s="40">
        <f>$D$29</f>
        <v>44946</v>
      </c>
      <c r="E31" s="24"/>
      <c r="F31" s="22"/>
      <c r="G31" s="21"/>
      <c r="H31" s="20"/>
    </row>
    <row r="32" spans="1:13" s="8" customFormat="1" ht="30" x14ac:dyDescent="0.25">
      <c r="A32" s="20">
        <v>21</v>
      </c>
      <c r="B32" s="46" t="s">
        <v>37</v>
      </c>
      <c r="C32" s="26" t="s">
        <v>50</v>
      </c>
      <c r="D32" s="40">
        <f>$D$29</f>
        <v>44946</v>
      </c>
      <c r="E32" s="24"/>
      <c r="F32" s="22"/>
      <c r="G32" s="21"/>
      <c r="H32" s="20"/>
    </row>
    <row r="33" spans="1:13" s="8" customFormat="1" x14ac:dyDescent="0.25">
      <c r="A33" s="20">
        <v>22</v>
      </c>
      <c r="B33" s="21" t="s">
        <v>24</v>
      </c>
      <c r="C33" s="28" t="s">
        <v>25</v>
      </c>
      <c r="D33" s="21" t="s">
        <v>26</v>
      </c>
      <c r="E33" s="22">
        <v>1</v>
      </c>
      <c r="F33" s="22">
        <v>1</v>
      </c>
      <c r="G33" s="21"/>
      <c r="H33" s="20"/>
    </row>
    <row r="34" spans="1:13" s="8" customFormat="1" ht="30" x14ac:dyDescent="0.25">
      <c r="A34" s="20">
        <v>23</v>
      </c>
      <c r="B34" s="23" t="s">
        <v>29</v>
      </c>
      <c r="C34" s="28" t="s">
        <v>27</v>
      </c>
      <c r="D34" s="21" t="s">
        <v>31</v>
      </c>
      <c r="E34" s="24">
        <v>1</v>
      </c>
      <c r="F34" s="22">
        <v>1</v>
      </c>
      <c r="G34" s="21"/>
      <c r="H34" s="20"/>
    </row>
    <row r="35" spans="1:13" s="8" customFormat="1" ht="30" x14ac:dyDescent="0.25">
      <c r="A35" s="20">
        <v>24</v>
      </c>
      <c r="B35" s="23" t="s">
        <v>30</v>
      </c>
      <c r="C35" s="25" t="s">
        <v>28</v>
      </c>
      <c r="D35" s="23" t="s">
        <v>32</v>
      </c>
      <c r="E35" s="24">
        <v>1</v>
      </c>
      <c r="F35" s="22">
        <v>1</v>
      </c>
      <c r="G35" s="21"/>
      <c r="H35" s="20"/>
    </row>
    <row r="36" spans="1:13" s="8" customFormat="1" x14ac:dyDescent="0.25">
      <c r="A36" s="20">
        <v>25</v>
      </c>
      <c r="B36" s="46" t="s">
        <v>34</v>
      </c>
      <c r="C36" s="25" t="s">
        <v>36</v>
      </c>
      <c r="D36" s="46">
        <v>44774</v>
      </c>
      <c r="E36" s="24">
        <v>1</v>
      </c>
      <c r="F36" s="22">
        <v>26</v>
      </c>
      <c r="G36" s="21"/>
      <c r="H36" s="20"/>
    </row>
    <row r="37" spans="1:13" s="8" customFormat="1" ht="20.100000000000001" customHeight="1" x14ac:dyDescent="0.25">
      <c r="A37" s="20">
        <v>26</v>
      </c>
      <c r="B37" s="46" t="s">
        <v>34</v>
      </c>
      <c r="C37" s="26" t="s">
        <v>33</v>
      </c>
      <c r="D37" s="46">
        <v>44774</v>
      </c>
      <c r="E37" s="24">
        <v>1</v>
      </c>
      <c r="F37" s="22">
        <v>8</v>
      </c>
      <c r="G37" s="21"/>
      <c r="H37" s="20"/>
    </row>
    <row r="38" spans="1:13" s="8" customFormat="1" ht="42.75" x14ac:dyDescent="0.25">
      <c r="A38" s="41">
        <v>27</v>
      </c>
      <c r="B38" s="42" t="s">
        <v>51</v>
      </c>
      <c r="C38" s="43" t="s">
        <v>82</v>
      </c>
      <c r="D38" s="44">
        <v>44946</v>
      </c>
      <c r="E38" s="45">
        <v>1</v>
      </c>
      <c r="F38" s="45">
        <v>1</v>
      </c>
      <c r="G38" s="42" t="s">
        <v>23</v>
      </c>
      <c r="H38" s="41"/>
      <c r="L38" s="13"/>
      <c r="M38" s="13"/>
    </row>
    <row r="39" spans="1:13" s="8" customFormat="1" ht="30" x14ac:dyDescent="0.25">
      <c r="A39" s="20">
        <v>28</v>
      </c>
      <c r="B39" s="46" t="s">
        <v>24</v>
      </c>
      <c r="C39" s="26" t="s">
        <v>52</v>
      </c>
      <c r="D39" s="40">
        <f>$D$29</f>
        <v>44946</v>
      </c>
      <c r="E39" s="24"/>
      <c r="F39" s="22"/>
      <c r="G39" s="21"/>
      <c r="H39" s="20"/>
    </row>
    <row r="40" spans="1:13" s="8" customFormat="1" x14ac:dyDescent="0.25">
      <c r="A40" s="20">
        <v>29</v>
      </c>
      <c r="B40" s="21" t="s">
        <v>24</v>
      </c>
      <c r="C40" s="28" t="s">
        <v>25</v>
      </c>
      <c r="D40" s="21" t="s">
        <v>26</v>
      </c>
      <c r="E40" s="22">
        <v>1</v>
      </c>
      <c r="F40" s="22">
        <v>1</v>
      </c>
      <c r="G40" s="21"/>
      <c r="H40" s="20"/>
    </row>
    <row r="41" spans="1:13" s="8" customFormat="1" ht="30" x14ac:dyDescent="0.25">
      <c r="A41" s="20">
        <v>30</v>
      </c>
      <c r="B41" s="23" t="s">
        <v>29</v>
      </c>
      <c r="C41" s="28" t="s">
        <v>27</v>
      </c>
      <c r="D41" s="21" t="s">
        <v>31</v>
      </c>
      <c r="E41" s="24">
        <v>1</v>
      </c>
      <c r="F41" s="22">
        <v>1</v>
      </c>
      <c r="G41" s="21"/>
      <c r="H41" s="20"/>
    </row>
    <row r="42" spans="1:13" s="8" customFormat="1" ht="30" x14ac:dyDescent="0.25">
      <c r="A42" s="20">
        <v>31</v>
      </c>
      <c r="B42" s="23" t="s">
        <v>30</v>
      </c>
      <c r="C42" s="25" t="s">
        <v>28</v>
      </c>
      <c r="D42" s="23" t="s">
        <v>32</v>
      </c>
      <c r="E42" s="24">
        <v>1</v>
      </c>
      <c r="F42" s="22">
        <v>1</v>
      </c>
      <c r="G42" s="21"/>
      <c r="H42" s="20"/>
    </row>
    <row r="43" spans="1:13" s="8" customFormat="1" ht="20.100000000000001" customHeight="1" x14ac:dyDescent="0.25">
      <c r="A43" s="20">
        <v>32</v>
      </c>
      <c r="B43" s="46" t="s">
        <v>34</v>
      </c>
      <c r="C43" s="26" t="s">
        <v>33</v>
      </c>
      <c r="D43" s="46">
        <v>44774</v>
      </c>
      <c r="E43" s="24">
        <v>1</v>
      </c>
      <c r="F43" s="22">
        <v>1</v>
      </c>
      <c r="G43" s="21"/>
      <c r="H43" s="20"/>
    </row>
    <row r="44" spans="1:13" s="8" customFormat="1" ht="57" x14ac:dyDescent="0.25">
      <c r="A44" s="41">
        <v>33</v>
      </c>
      <c r="B44" s="42" t="s">
        <v>53</v>
      </c>
      <c r="C44" s="43" t="s">
        <v>83</v>
      </c>
      <c r="D44" s="44">
        <v>44947</v>
      </c>
      <c r="E44" s="45">
        <v>1</v>
      </c>
      <c r="F44" s="45">
        <v>1</v>
      </c>
      <c r="G44" s="42" t="s">
        <v>23</v>
      </c>
      <c r="H44" s="41"/>
      <c r="L44" s="13"/>
      <c r="M44" s="13"/>
    </row>
    <row r="45" spans="1:13" s="8" customFormat="1" ht="30" x14ac:dyDescent="0.25">
      <c r="A45" s="20">
        <v>34</v>
      </c>
      <c r="B45" s="46" t="s">
        <v>24</v>
      </c>
      <c r="C45" s="26" t="s">
        <v>54</v>
      </c>
      <c r="D45" s="40">
        <f>D44</f>
        <v>44947</v>
      </c>
      <c r="E45" s="24">
        <v>1</v>
      </c>
      <c r="F45" s="22">
        <v>1</v>
      </c>
      <c r="G45" s="21"/>
      <c r="H45" s="20"/>
    </row>
    <row r="46" spans="1:13" s="8" customFormat="1" ht="30" x14ac:dyDescent="0.25">
      <c r="A46" s="20">
        <v>35</v>
      </c>
      <c r="B46" s="46" t="s">
        <v>35</v>
      </c>
      <c r="C46" s="26" t="s">
        <v>55</v>
      </c>
      <c r="D46" s="40">
        <f>D44</f>
        <v>44947</v>
      </c>
      <c r="E46" s="24">
        <v>1</v>
      </c>
      <c r="F46" s="22">
        <v>1</v>
      </c>
      <c r="G46" s="21"/>
      <c r="H46" s="20"/>
    </row>
    <row r="47" spans="1:13" s="8" customFormat="1" ht="30" x14ac:dyDescent="0.25">
      <c r="A47" s="20">
        <v>36</v>
      </c>
      <c r="B47" s="46" t="s">
        <v>37</v>
      </c>
      <c r="C47" s="26" t="s">
        <v>56</v>
      </c>
      <c r="D47" s="40">
        <f>D44</f>
        <v>44947</v>
      </c>
      <c r="E47" s="24">
        <v>1</v>
      </c>
      <c r="F47" s="22">
        <v>1</v>
      </c>
      <c r="G47" s="21"/>
      <c r="H47" s="20"/>
    </row>
    <row r="48" spans="1:13" s="8" customFormat="1" x14ac:dyDescent="0.25">
      <c r="A48" s="20">
        <v>37</v>
      </c>
      <c r="B48" s="21" t="s">
        <v>24</v>
      </c>
      <c r="C48" s="28" t="s">
        <v>25</v>
      </c>
      <c r="D48" s="21" t="s">
        <v>26</v>
      </c>
      <c r="E48" s="22">
        <v>1</v>
      </c>
      <c r="F48" s="22">
        <v>1</v>
      </c>
      <c r="G48" s="21"/>
      <c r="H48" s="20"/>
    </row>
    <row r="49" spans="1:13" s="8" customFormat="1" ht="30" x14ac:dyDescent="0.25">
      <c r="A49" s="20">
        <v>38</v>
      </c>
      <c r="B49" s="23" t="s">
        <v>29</v>
      </c>
      <c r="C49" s="28" t="s">
        <v>27</v>
      </c>
      <c r="D49" s="21" t="s">
        <v>31</v>
      </c>
      <c r="E49" s="24">
        <v>1</v>
      </c>
      <c r="F49" s="22">
        <v>1</v>
      </c>
      <c r="G49" s="21"/>
      <c r="H49" s="20"/>
    </row>
    <row r="50" spans="1:13" s="8" customFormat="1" ht="30" x14ac:dyDescent="0.25">
      <c r="A50" s="20">
        <v>39</v>
      </c>
      <c r="B50" s="23" t="s">
        <v>30</v>
      </c>
      <c r="C50" s="25" t="s">
        <v>28</v>
      </c>
      <c r="D50" s="23" t="s">
        <v>32</v>
      </c>
      <c r="E50" s="24">
        <v>1</v>
      </c>
      <c r="F50" s="22">
        <v>1</v>
      </c>
      <c r="G50" s="21"/>
      <c r="H50" s="20"/>
    </row>
    <row r="51" spans="1:13" s="8" customFormat="1" x14ac:dyDescent="0.25">
      <c r="A51" s="20">
        <v>40</v>
      </c>
      <c r="B51" s="46" t="s">
        <v>34</v>
      </c>
      <c r="C51" s="25" t="s">
        <v>36</v>
      </c>
      <c r="D51" s="46">
        <v>44774</v>
      </c>
      <c r="E51" s="24">
        <v>1</v>
      </c>
      <c r="F51" s="22">
        <v>28</v>
      </c>
      <c r="G51" s="21"/>
      <c r="H51" s="20"/>
    </row>
    <row r="52" spans="1:13" s="8" customFormat="1" ht="20.100000000000001" customHeight="1" x14ac:dyDescent="0.25">
      <c r="A52" s="20">
        <v>41</v>
      </c>
      <c r="B52" s="46" t="s">
        <v>34</v>
      </c>
      <c r="C52" s="26" t="s">
        <v>33</v>
      </c>
      <c r="D52" s="46">
        <v>44774</v>
      </c>
      <c r="E52" s="24">
        <v>1</v>
      </c>
      <c r="F52" s="22">
        <v>1</v>
      </c>
      <c r="G52" s="21"/>
      <c r="H52" s="20"/>
    </row>
    <row r="53" spans="1:13" s="8" customFormat="1" ht="42.75" x14ac:dyDescent="0.25">
      <c r="A53" s="41">
        <v>42</v>
      </c>
      <c r="B53" s="42" t="s">
        <v>57</v>
      </c>
      <c r="C53" s="43" t="s">
        <v>84</v>
      </c>
      <c r="D53" s="44">
        <v>44947</v>
      </c>
      <c r="E53" s="45">
        <v>1</v>
      </c>
      <c r="F53" s="45">
        <v>1</v>
      </c>
      <c r="G53" s="42" t="s">
        <v>23</v>
      </c>
      <c r="H53" s="41"/>
      <c r="L53" s="13"/>
      <c r="M53" s="13"/>
    </row>
    <row r="54" spans="1:13" s="8" customFormat="1" ht="30" x14ac:dyDescent="0.25">
      <c r="A54" s="20">
        <v>43</v>
      </c>
      <c r="B54" s="46" t="s">
        <v>24</v>
      </c>
      <c r="C54" s="26" t="s">
        <v>58</v>
      </c>
      <c r="D54" s="40">
        <f>$D$53</f>
        <v>44947</v>
      </c>
      <c r="E54" s="24">
        <v>1</v>
      </c>
      <c r="F54" s="22">
        <v>1</v>
      </c>
      <c r="G54" s="21"/>
      <c r="H54" s="20"/>
    </row>
    <row r="55" spans="1:13" s="8" customFormat="1" ht="30" x14ac:dyDescent="0.25">
      <c r="A55" s="20">
        <v>44</v>
      </c>
      <c r="B55" s="46" t="s">
        <v>35</v>
      </c>
      <c r="C55" s="26" t="s">
        <v>59</v>
      </c>
      <c r="D55" s="40">
        <f t="shared" ref="D55:D56" si="0">$D$53</f>
        <v>44947</v>
      </c>
      <c r="E55" s="24">
        <v>1</v>
      </c>
      <c r="F55" s="22">
        <v>1</v>
      </c>
      <c r="G55" s="21"/>
      <c r="H55" s="20"/>
    </row>
    <row r="56" spans="1:13" s="8" customFormat="1" ht="30" x14ac:dyDescent="0.25">
      <c r="A56" s="20">
        <v>45</v>
      </c>
      <c r="B56" s="46" t="s">
        <v>37</v>
      </c>
      <c r="C56" s="26" t="s">
        <v>60</v>
      </c>
      <c r="D56" s="40">
        <f t="shared" si="0"/>
        <v>44947</v>
      </c>
      <c r="E56" s="24">
        <v>1</v>
      </c>
      <c r="F56" s="22">
        <v>1</v>
      </c>
      <c r="G56" s="21"/>
      <c r="H56" s="20"/>
    </row>
    <row r="57" spans="1:13" s="8" customFormat="1" x14ac:dyDescent="0.25">
      <c r="A57" s="20">
        <v>46</v>
      </c>
      <c r="B57" s="21" t="s">
        <v>24</v>
      </c>
      <c r="C57" s="28" t="s">
        <v>25</v>
      </c>
      <c r="D57" s="21" t="s">
        <v>26</v>
      </c>
      <c r="E57" s="22">
        <v>1</v>
      </c>
      <c r="F57" s="22">
        <v>1</v>
      </c>
      <c r="G57" s="21"/>
      <c r="H57" s="20"/>
    </row>
    <row r="58" spans="1:13" s="8" customFormat="1" ht="30" x14ac:dyDescent="0.25">
      <c r="A58" s="20">
        <v>47</v>
      </c>
      <c r="B58" s="23" t="s">
        <v>29</v>
      </c>
      <c r="C58" s="28" t="s">
        <v>27</v>
      </c>
      <c r="D58" s="21" t="s">
        <v>31</v>
      </c>
      <c r="E58" s="24">
        <v>1</v>
      </c>
      <c r="F58" s="22">
        <v>1</v>
      </c>
      <c r="G58" s="21"/>
      <c r="H58" s="20"/>
    </row>
    <row r="59" spans="1:13" s="8" customFormat="1" ht="30" x14ac:dyDescent="0.25">
      <c r="A59" s="20">
        <v>48</v>
      </c>
      <c r="B59" s="23" t="s">
        <v>30</v>
      </c>
      <c r="C59" s="25" t="s">
        <v>28</v>
      </c>
      <c r="D59" s="23" t="s">
        <v>32</v>
      </c>
      <c r="E59" s="24">
        <v>1</v>
      </c>
      <c r="F59" s="22">
        <v>1</v>
      </c>
      <c r="G59" s="21"/>
      <c r="H59" s="20"/>
    </row>
    <row r="60" spans="1:13" s="8" customFormat="1" x14ac:dyDescent="0.25">
      <c r="A60" s="20">
        <v>49</v>
      </c>
      <c r="B60" s="46" t="s">
        <v>34</v>
      </c>
      <c r="C60" s="25" t="s">
        <v>36</v>
      </c>
      <c r="D60" s="46">
        <v>44774</v>
      </c>
      <c r="E60" s="24">
        <v>1</v>
      </c>
      <c r="F60" s="22">
        <v>50</v>
      </c>
      <c r="G60" s="21"/>
      <c r="H60" s="20"/>
    </row>
    <row r="61" spans="1:13" s="8" customFormat="1" ht="28.5" x14ac:dyDescent="0.25">
      <c r="A61" s="41">
        <v>50</v>
      </c>
      <c r="B61" s="42" t="s">
        <v>61</v>
      </c>
      <c r="C61" s="43" t="s">
        <v>85</v>
      </c>
      <c r="D61" s="44">
        <v>44947</v>
      </c>
      <c r="E61" s="45">
        <v>1</v>
      </c>
      <c r="F61" s="45">
        <v>1</v>
      </c>
      <c r="G61" s="42" t="s">
        <v>23</v>
      </c>
      <c r="H61" s="41"/>
      <c r="L61" s="13"/>
      <c r="M61" s="13"/>
    </row>
    <row r="62" spans="1:13" s="8" customFormat="1" ht="30" x14ac:dyDescent="0.25">
      <c r="A62" s="20">
        <v>51</v>
      </c>
      <c r="B62" s="46" t="s">
        <v>24</v>
      </c>
      <c r="C62" s="26" t="s">
        <v>62</v>
      </c>
      <c r="D62" s="40">
        <f>D61</f>
        <v>44947</v>
      </c>
      <c r="E62" s="24">
        <v>1</v>
      </c>
      <c r="F62" s="22">
        <v>1</v>
      </c>
      <c r="G62" s="21"/>
      <c r="H62" s="20"/>
    </row>
    <row r="63" spans="1:13" s="8" customFormat="1" x14ac:dyDescent="0.25">
      <c r="A63" s="20">
        <v>52</v>
      </c>
      <c r="B63" s="21" t="s">
        <v>24</v>
      </c>
      <c r="C63" s="28" t="s">
        <v>25</v>
      </c>
      <c r="D63" s="21" t="s">
        <v>26</v>
      </c>
      <c r="E63" s="22">
        <v>1</v>
      </c>
      <c r="F63" s="22">
        <v>1</v>
      </c>
      <c r="G63" s="21"/>
      <c r="H63" s="20"/>
    </row>
    <row r="64" spans="1:13" s="8" customFormat="1" ht="30" x14ac:dyDescent="0.25">
      <c r="A64" s="20">
        <v>53</v>
      </c>
      <c r="B64" s="23" t="s">
        <v>29</v>
      </c>
      <c r="C64" s="28" t="s">
        <v>27</v>
      </c>
      <c r="D64" s="21" t="s">
        <v>31</v>
      </c>
      <c r="E64" s="24">
        <v>1</v>
      </c>
      <c r="F64" s="22">
        <v>1</v>
      </c>
      <c r="G64" s="21"/>
      <c r="H64" s="20"/>
    </row>
    <row r="65" spans="1:13" s="8" customFormat="1" ht="30" x14ac:dyDescent="0.25">
      <c r="A65" s="20">
        <v>54</v>
      </c>
      <c r="B65" s="23" t="s">
        <v>30</v>
      </c>
      <c r="C65" s="25" t="s">
        <v>28</v>
      </c>
      <c r="D65" s="23" t="s">
        <v>32</v>
      </c>
      <c r="E65" s="24">
        <v>1</v>
      </c>
      <c r="F65" s="22">
        <v>1</v>
      </c>
      <c r="G65" s="21"/>
      <c r="H65" s="20"/>
    </row>
    <row r="66" spans="1:13" s="8" customFormat="1" ht="20.100000000000001" customHeight="1" x14ac:dyDescent="0.25">
      <c r="A66" s="20">
        <v>55</v>
      </c>
      <c r="B66" s="46" t="s">
        <v>34</v>
      </c>
      <c r="C66" s="26" t="s">
        <v>33</v>
      </c>
      <c r="D66" s="46">
        <v>44774</v>
      </c>
      <c r="E66" s="24">
        <v>1</v>
      </c>
      <c r="F66" s="22">
        <v>1</v>
      </c>
      <c r="G66" s="21"/>
      <c r="H66" s="20"/>
    </row>
    <row r="67" spans="1:13" s="8" customFormat="1" ht="57" x14ac:dyDescent="0.25">
      <c r="A67" s="41">
        <v>56</v>
      </c>
      <c r="B67" s="42" t="s">
        <v>63</v>
      </c>
      <c r="C67" s="43" t="s">
        <v>86</v>
      </c>
      <c r="D67" s="44">
        <v>44948</v>
      </c>
      <c r="E67" s="45">
        <v>1</v>
      </c>
      <c r="F67" s="45">
        <v>1</v>
      </c>
      <c r="G67" s="42" t="s">
        <v>23</v>
      </c>
      <c r="H67" s="41"/>
      <c r="L67" s="13"/>
      <c r="M67" s="13"/>
    </row>
    <row r="68" spans="1:13" s="8" customFormat="1" ht="30" x14ac:dyDescent="0.25">
      <c r="A68" s="20">
        <v>57</v>
      </c>
      <c r="B68" s="46" t="s">
        <v>24</v>
      </c>
      <c r="C68" s="26" t="s">
        <v>64</v>
      </c>
      <c r="D68" s="40">
        <f>D67</f>
        <v>44948</v>
      </c>
      <c r="E68" s="24">
        <v>1</v>
      </c>
      <c r="F68" s="22">
        <v>1</v>
      </c>
      <c r="G68" s="21"/>
      <c r="H68" s="20"/>
    </row>
    <row r="69" spans="1:13" s="8" customFormat="1" ht="30" x14ac:dyDescent="0.25">
      <c r="A69" s="20">
        <v>58</v>
      </c>
      <c r="B69" s="46" t="s">
        <v>35</v>
      </c>
      <c r="C69" s="26" t="s">
        <v>65</v>
      </c>
      <c r="D69" s="40">
        <f>D67</f>
        <v>44948</v>
      </c>
      <c r="E69" s="24">
        <v>1</v>
      </c>
      <c r="F69" s="22">
        <v>1</v>
      </c>
      <c r="G69" s="21"/>
      <c r="H69" s="20"/>
    </row>
    <row r="70" spans="1:13" s="8" customFormat="1" x14ac:dyDescent="0.25">
      <c r="A70" s="20">
        <v>59</v>
      </c>
      <c r="B70" s="21" t="s">
        <v>24</v>
      </c>
      <c r="C70" s="28" t="s">
        <v>25</v>
      </c>
      <c r="D70" s="21" t="s">
        <v>26</v>
      </c>
      <c r="E70" s="22">
        <v>1</v>
      </c>
      <c r="F70" s="22">
        <v>1</v>
      </c>
      <c r="G70" s="21"/>
      <c r="H70" s="20"/>
    </row>
    <row r="71" spans="1:13" s="8" customFormat="1" ht="30" x14ac:dyDescent="0.25">
      <c r="A71" s="20">
        <v>60</v>
      </c>
      <c r="B71" s="23" t="s">
        <v>29</v>
      </c>
      <c r="C71" s="28" t="s">
        <v>27</v>
      </c>
      <c r="D71" s="21" t="s">
        <v>31</v>
      </c>
      <c r="E71" s="24">
        <v>1</v>
      </c>
      <c r="F71" s="22">
        <v>1</v>
      </c>
      <c r="G71" s="21"/>
      <c r="H71" s="20"/>
    </row>
    <row r="72" spans="1:13" s="8" customFormat="1" ht="30" x14ac:dyDescent="0.25">
      <c r="A72" s="20">
        <v>61</v>
      </c>
      <c r="B72" s="23" t="s">
        <v>30</v>
      </c>
      <c r="C72" s="25" t="s">
        <v>28</v>
      </c>
      <c r="D72" s="23" t="s">
        <v>32</v>
      </c>
      <c r="E72" s="24">
        <v>1</v>
      </c>
      <c r="F72" s="22">
        <v>1</v>
      </c>
      <c r="G72" s="21"/>
      <c r="H72" s="20"/>
    </row>
    <row r="73" spans="1:13" s="8" customFormat="1" x14ac:dyDescent="0.25">
      <c r="A73" s="20">
        <v>62</v>
      </c>
      <c r="B73" s="46" t="s">
        <v>34</v>
      </c>
      <c r="C73" s="25" t="s">
        <v>36</v>
      </c>
      <c r="D73" s="46">
        <v>44774</v>
      </c>
      <c r="E73" s="24">
        <v>1</v>
      </c>
      <c r="F73" s="22">
        <v>18</v>
      </c>
      <c r="G73" s="21"/>
      <c r="H73" s="20"/>
    </row>
    <row r="74" spans="1:13" s="8" customFormat="1" ht="20.100000000000001" customHeight="1" x14ac:dyDescent="0.25">
      <c r="A74" s="20">
        <v>63</v>
      </c>
      <c r="B74" s="46" t="s">
        <v>34</v>
      </c>
      <c r="C74" s="26" t="s">
        <v>33</v>
      </c>
      <c r="D74" s="46">
        <v>44774</v>
      </c>
      <c r="E74" s="24">
        <v>1</v>
      </c>
      <c r="F74" s="22">
        <v>1</v>
      </c>
      <c r="G74" s="21"/>
      <c r="H74" s="20"/>
    </row>
    <row r="75" spans="1:13" s="8" customFormat="1" ht="57" x14ac:dyDescent="0.25">
      <c r="A75" s="41">
        <v>64</v>
      </c>
      <c r="B75" s="42" t="s">
        <v>66</v>
      </c>
      <c r="C75" s="43" t="s">
        <v>87</v>
      </c>
      <c r="D75" s="44">
        <v>44948</v>
      </c>
      <c r="E75" s="45">
        <v>1</v>
      </c>
      <c r="F75" s="45">
        <v>1</v>
      </c>
      <c r="G75" s="42" t="s">
        <v>23</v>
      </c>
      <c r="H75" s="41"/>
      <c r="L75" s="13"/>
      <c r="M75" s="13"/>
    </row>
    <row r="76" spans="1:13" s="8" customFormat="1" ht="30" x14ac:dyDescent="0.25">
      <c r="A76" s="20">
        <v>65</v>
      </c>
      <c r="B76" s="46" t="s">
        <v>24</v>
      </c>
      <c r="C76" s="26" t="s">
        <v>67</v>
      </c>
      <c r="D76" s="40">
        <f>D75</f>
        <v>44948</v>
      </c>
      <c r="E76" s="24">
        <v>1</v>
      </c>
      <c r="F76" s="22">
        <v>1</v>
      </c>
      <c r="G76" s="21"/>
      <c r="H76" s="20"/>
    </row>
    <row r="77" spans="1:13" s="8" customFormat="1" ht="30" x14ac:dyDescent="0.25">
      <c r="A77" s="20">
        <v>66</v>
      </c>
      <c r="B77" s="46" t="s">
        <v>35</v>
      </c>
      <c r="C77" s="26" t="s">
        <v>68</v>
      </c>
      <c r="D77" s="40">
        <f>D75</f>
        <v>44948</v>
      </c>
      <c r="E77" s="24">
        <v>1</v>
      </c>
      <c r="F77" s="22">
        <v>1</v>
      </c>
      <c r="G77" s="21"/>
      <c r="H77" s="20"/>
    </row>
    <row r="78" spans="1:13" s="8" customFormat="1" ht="45" x14ac:dyDescent="0.25">
      <c r="A78" s="20">
        <v>67</v>
      </c>
      <c r="B78" s="46" t="s">
        <v>37</v>
      </c>
      <c r="C78" s="26" t="s">
        <v>69</v>
      </c>
      <c r="D78" s="40">
        <f>D75</f>
        <v>44948</v>
      </c>
      <c r="E78" s="24">
        <v>1</v>
      </c>
      <c r="F78" s="22">
        <v>1</v>
      </c>
      <c r="G78" s="21"/>
      <c r="H78" s="20"/>
    </row>
    <row r="79" spans="1:13" s="8" customFormat="1" x14ac:dyDescent="0.25">
      <c r="A79" s="20">
        <v>68</v>
      </c>
      <c r="B79" s="21" t="s">
        <v>24</v>
      </c>
      <c r="C79" s="28" t="s">
        <v>25</v>
      </c>
      <c r="D79" s="21" t="s">
        <v>26</v>
      </c>
      <c r="E79" s="22">
        <v>1</v>
      </c>
      <c r="F79" s="22">
        <v>1</v>
      </c>
      <c r="G79" s="21"/>
      <c r="H79" s="20"/>
    </row>
    <row r="80" spans="1:13" s="8" customFormat="1" ht="30" x14ac:dyDescent="0.25">
      <c r="A80" s="20">
        <v>69</v>
      </c>
      <c r="B80" s="23" t="s">
        <v>29</v>
      </c>
      <c r="C80" s="28" t="s">
        <v>27</v>
      </c>
      <c r="D80" s="21" t="s">
        <v>31</v>
      </c>
      <c r="E80" s="24">
        <v>1</v>
      </c>
      <c r="F80" s="22">
        <v>1</v>
      </c>
      <c r="G80" s="21"/>
      <c r="H80" s="20"/>
    </row>
    <row r="81" spans="1:13" s="8" customFormat="1" ht="30" x14ac:dyDescent="0.25">
      <c r="A81" s="20">
        <v>70</v>
      </c>
      <c r="B81" s="23" t="s">
        <v>30</v>
      </c>
      <c r="C81" s="25" t="s">
        <v>28</v>
      </c>
      <c r="D81" s="23" t="s">
        <v>32</v>
      </c>
      <c r="E81" s="24">
        <v>1</v>
      </c>
      <c r="F81" s="22">
        <v>1</v>
      </c>
      <c r="G81" s="21"/>
      <c r="H81" s="20"/>
    </row>
    <row r="82" spans="1:13" s="8" customFormat="1" x14ac:dyDescent="0.25">
      <c r="A82" s="20">
        <v>71</v>
      </c>
      <c r="B82" s="46" t="s">
        <v>34</v>
      </c>
      <c r="C82" s="25" t="s">
        <v>36</v>
      </c>
      <c r="D82" s="46">
        <v>44774</v>
      </c>
      <c r="E82" s="24">
        <v>1</v>
      </c>
      <c r="F82" s="22">
        <v>62</v>
      </c>
      <c r="G82" s="21"/>
      <c r="H82" s="20"/>
    </row>
    <row r="83" spans="1:13" s="8" customFormat="1" ht="20.100000000000001" customHeight="1" x14ac:dyDescent="0.25">
      <c r="A83" s="20">
        <v>72</v>
      </c>
      <c r="B83" s="46" t="s">
        <v>34</v>
      </c>
      <c r="C83" s="26" t="s">
        <v>33</v>
      </c>
      <c r="D83" s="46">
        <v>44774</v>
      </c>
      <c r="E83" s="24">
        <v>1</v>
      </c>
      <c r="F83" s="22">
        <v>1</v>
      </c>
      <c r="G83" s="21"/>
      <c r="H83" s="20"/>
    </row>
    <row r="84" spans="1:13" s="8" customFormat="1" ht="42.75" x14ac:dyDescent="0.25">
      <c r="A84" s="41">
        <v>73</v>
      </c>
      <c r="B84" s="42" t="s">
        <v>70</v>
      </c>
      <c r="C84" s="43" t="s">
        <v>88</v>
      </c>
      <c r="D84" s="44">
        <v>44948</v>
      </c>
      <c r="E84" s="45">
        <v>1</v>
      </c>
      <c r="F84" s="45">
        <v>1</v>
      </c>
      <c r="G84" s="42" t="s">
        <v>23</v>
      </c>
      <c r="H84" s="41"/>
      <c r="L84" s="13"/>
      <c r="M84" s="13"/>
    </row>
    <row r="85" spans="1:13" s="8" customFormat="1" ht="30" x14ac:dyDescent="0.25">
      <c r="A85" s="20">
        <v>74</v>
      </c>
      <c r="B85" s="46" t="s">
        <v>24</v>
      </c>
      <c r="C85" s="26" t="s">
        <v>71</v>
      </c>
      <c r="D85" s="40">
        <f>D84</f>
        <v>44948</v>
      </c>
      <c r="E85" s="24">
        <v>1</v>
      </c>
      <c r="F85" s="22">
        <v>1</v>
      </c>
      <c r="G85" s="21"/>
      <c r="H85" s="20"/>
    </row>
    <row r="86" spans="1:13" s="8" customFormat="1" x14ac:dyDescent="0.25">
      <c r="A86" s="20">
        <v>75</v>
      </c>
      <c r="B86" s="21" t="s">
        <v>24</v>
      </c>
      <c r="C86" s="28" t="s">
        <v>25</v>
      </c>
      <c r="D86" s="21" t="s">
        <v>26</v>
      </c>
      <c r="E86" s="22">
        <v>1</v>
      </c>
      <c r="F86" s="22">
        <v>1</v>
      </c>
      <c r="G86" s="21"/>
      <c r="H86" s="20"/>
    </row>
    <row r="87" spans="1:13" s="8" customFormat="1" ht="30" x14ac:dyDescent="0.25">
      <c r="A87" s="20">
        <v>76</v>
      </c>
      <c r="B87" s="23" t="s">
        <v>29</v>
      </c>
      <c r="C87" s="28" t="s">
        <v>27</v>
      </c>
      <c r="D87" s="21" t="s">
        <v>31</v>
      </c>
      <c r="E87" s="24">
        <v>1</v>
      </c>
      <c r="F87" s="22">
        <v>1</v>
      </c>
      <c r="G87" s="21"/>
      <c r="H87" s="20"/>
    </row>
    <row r="88" spans="1:13" s="8" customFormat="1" ht="30" x14ac:dyDescent="0.25">
      <c r="A88" s="20">
        <v>77</v>
      </c>
      <c r="B88" s="23" t="s">
        <v>30</v>
      </c>
      <c r="C88" s="25" t="s">
        <v>28</v>
      </c>
      <c r="D88" s="23" t="s">
        <v>32</v>
      </c>
      <c r="E88" s="24">
        <v>1</v>
      </c>
      <c r="F88" s="22">
        <v>1</v>
      </c>
      <c r="G88" s="21"/>
      <c r="H88" s="20"/>
    </row>
    <row r="89" spans="1:13" s="8" customFormat="1" ht="20.100000000000001" customHeight="1" x14ac:dyDescent="0.25">
      <c r="A89" s="20">
        <v>78</v>
      </c>
      <c r="B89" s="46" t="s">
        <v>34</v>
      </c>
      <c r="C89" s="26" t="s">
        <v>33</v>
      </c>
      <c r="D89" s="46">
        <v>44774</v>
      </c>
      <c r="E89" s="24">
        <v>1</v>
      </c>
      <c r="F89" s="22">
        <v>1</v>
      </c>
      <c r="G89" s="21"/>
      <c r="H89" s="20"/>
    </row>
    <row r="90" spans="1:13" s="8" customFormat="1" ht="57" x14ac:dyDescent="0.25">
      <c r="A90" s="41">
        <v>79</v>
      </c>
      <c r="B90" s="42" t="s">
        <v>72</v>
      </c>
      <c r="C90" s="43" t="s">
        <v>89</v>
      </c>
      <c r="D90" s="44">
        <v>44949</v>
      </c>
      <c r="E90" s="45">
        <v>1</v>
      </c>
      <c r="F90" s="45">
        <v>1</v>
      </c>
      <c r="G90" s="42" t="s">
        <v>23</v>
      </c>
      <c r="H90" s="41"/>
      <c r="L90" s="13"/>
      <c r="M90" s="13"/>
    </row>
    <row r="91" spans="1:13" s="8" customFormat="1" ht="45" x14ac:dyDescent="0.25">
      <c r="A91" s="20">
        <v>80</v>
      </c>
      <c r="B91" s="46" t="s">
        <v>24</v>
      </c>
      <c r="C91" s="26" t="s">
        <v>73</v>
      </c>
      <c r="D91" s="40">
        <f>D90</f>
        <v>44949</v>
      </c>
      <c r="E91" s="24">
        <v>2</v>
      </c>
      <c r="F91" s="22">
        <v>1</v>
      </c>
      <c r="G91" s="21"/>
      <c r="H91" s="20"/>
    </row>
    <row r="92" spans="1:13" s="8" customFormat="1" ht="45" x14ac:dyDescent="0.25">
      <c r="A92" s="20">
        <v>81</v>
      </c>
      <c r="B92" s="46" t="s">
        <v>35</v>
      </c>
      <c r="C92" s="26" t="s">
        <v>74</v>
      </c>
      <c r="D92" s="40">
        <f>D90</f>
        <v>44949</v>
      </c>
      <c r="E92" s="24">
        <v>1</v>
      </c>
      <c r="F92" s="22">
        <v>1</v>
      </c>
      <c r="G92" s="21"/>
      <c r="H92" s="20"/>
    </row>
    <row r="93" spans="1:13" s="8" customFormat="1" ht="30" x14ac:dyDescent="0.25">
      <c r="A93" s="20">
        <v>82</v>
      </c>
      <c r="B93" s="46" t="s">
        <v>37</v>
      </c>
      <c r="C93" s="26" t="s">
        <v>75</v>
      </c>
      <c r="D93" s="40">
        <f>D90</f>
        <v>44949</v>
      </c>
      <c r="E93" s="24">
        <v>1</v>
      </c>
      <c r="F93" s="22">
        <v>1</v>
      </c>
      <c r="G93" s="21"/>
      <c r="H93" s="20"/>
    </row>
    <row r="94" spans="1:13" s="8" customFormat="1" x14ac:dyDescent="0.25">
      <c r="A94" s="20">
        <v>83</v>
      </c>
      <c r="B94" s="21" t="s">
        <v>24</v>
      </c>
      <c r="C94" s="28" t="s">
        <v>25</v>
      </c>
      <c r="D94" s="21" t="s">
        <v>26</v>
      </c>
      <c r="E94" s="22">
        <v>1</v>
      </c>
      <c r="F94" s="22">
        <v>1</v>
      </c>
      <c r="G94" s="21"/>
      <c r="H94" s="20"/>
    </row>
    <row r="95" spans="1:13" s="8" customFormat="1" ht="30" x14ac:dyDescent="0.25">
      <c r="A95" s="20">
        <v>84</v>
      </c>
      <c r="B95" s="23" t="s">
        <v>29</v>
      </c>
      <c r="C95" s="28" t="s">
        <v>27</v>
      </c>
      <c r="D95" s="21" t="s">
        <v>31</v>
      </c>
      <c r="E95" s="24">
        <v>1</v>
      </c>
      <c r="F95" s="22">
        <v>1</v>
      </c>
      <c r="G95" s="21"/>
      <c r="H95" s="20"/>
    </row>
    <row r="96" spans="1:13" s="8" customFormat="1" ht="30" x14ac:dyDescent="0.25">
      <c r="A96" s="20">
        <v>85</v>
      </c>
      <c r="B96" s="23" t="s">
        <v>30</v>
      </c>
      <c r="C96" s="25" t="s">
        <v>28</v>
      </c>
      <c r="D96" s="23" t="s">
        <v>32</v>
      </c>
      <c r="E96" s="24">
        <v>1</v>
      </c>
      <c r="F96" s="22">
        <v>1</v>
      </c>
      <c r="G96" s="21"/>
      <c r="H96" s="20"/>
    </row>
    <row r="97" spans="1:13" s="8" customFormat="1" x14ac:dyDescent="0.25">
      <c r="A97" s="20">
        <v>86</v>
      </c>
      <c r="B97" s="46" t="s">
        <v>34</v>
      </c>
      <c r="C97" s="25" t="s">
        <v>36</v>
      </c>
      <c r="D97" s="46">
        <v>44774</v>
      </c>
      <c r="E97" s="24">
        <v>1</v>
      </c>
      <c r="F97" s="22">
        <v>56</v>
      </c>
      <c r="G97" s="21"/>
      <c r="H97" s="20"/>
    </row>
    <row r="98" spans="1:13" s="8" customFormat="1" ht="20.100000000000001" customHeight="1" x14ac:dyDescent="0.25">
      <c r="A98" s="20">
        <v>87</v>
      </c>
      <c r="B98" s="46" t="s">
        <v>34</v>
      </c>
      <c r="C98" s="26" t="s">
        <v>33</v>
      </c>
      <c r="D98" s="46">
        <v>44774</v>
      </c>
      <c r="E98" s="24">
        <v>1</v>
      </c>
      <c r="F98" s="22">
        <v>6</v>
      </c>
      <c r="G98" s="21"/>
      <c r="H98" s="20"/>
    </row>
    <row r="99" spans="1:13" s="8" customFormat="1" ht="57" x14ac:dyDescent="0.25">
      <c r="A99" s="41">
        <v>88</v>
      </c>
      <c r="B99" s="42" t="s">
        <v>76</v>
      </c>
      <c r="C99" s="43" t="s">
        <v>90</v>
      </c>
      <c r="D99" s="44">
        <v>44949</v>
      </c>
      <c r="E99" s="45">
        <v>1</v>
      </c>
      <c r="F99" s="45">
        <v>1</v>
      </c>
      <c r="G99" s="42" t="s">
        <v>23</v>
      </c>
      <c r="H99" s="41"/>
      <c r="L99" s="13"/>
      <c r="M99" s="13"/>
    </row>
    <row r="100" spans="1:13" s="8" customFormat="1" ht="30" x14ac:dyDescent="0.25">
      <c r="A100" s="20">
        <v>89</v>
      </c>
      <c r="B100" s="46" t="s">
        <v>24</v>
      </c>
      <c r="C100" s="26" t="s">
        <v>77</v>
      </c>
      <c r="D100" s="40">
        <f>D99</f>
        <v>44949</v>
      </c>
      <c r="E100" s="24">
        <v>1</v>
      </c>
      <c r="F100" s="22">
        <v>1</v>
      </c>
      <c r="G100" s="21"/>
      <c r="H100" s="20"/>
    </row>
    <row r="101" spans="1:13" s="8" customFormat="1" ht="30" x14ac:dyDescent="0.25">
      <c r="A101" s="20">
        <v>90</v>
      </c>
      <c r="B101" s="46" t="s">
        <v>35</v>
      </c>
      <c r="C101" s="26" t="s">
        <v>78</v>
      </c>
      <c r="D101" s="40">
        <f>D99</f>
        <v>44949</v>
      </c>
      <c r="E101" s="24">
        <v>1</v>
      </c>
      <c r="F101" s="22">
        <v>1</v>
      </c>
      <c r="G101" s="21"/>
      <c r="H101" s="20"/>
    </row>
    <row r="102" spans="1:13" s="8" customFormat="1" x14ac:dyDescent="0.25">
      <c r="A102" s="20">
        <v>91</v>
      </c>
      <c r="B102" s="21" t="s">
        <v>24</v>
      </c>
      <c r="C102" s="28" t="s">
        <v>25</v>
      </c>
      <c r="D102" s="21" t="s">
        <v>26</v>
      </c>
      <c r="E102" s="22">
        <v>1</v>
      </c>
      <c r="F102" s="22">
        <v>1</v>
      </c>
      <c r="G102" s="21"/>
      <c r="H102" s="20"/>
    </row>
    <row r="103" spans="1:13" s="8" customFormat="1" ht="30" x14ac:dyDescent="0.25">
      <c r="A103" s="20">
        <v>92</v>
      </c>
      <c r="B103" s="23" t="s">
        <v>29</v>
      </c>
      <c r="C103" s="28" t="s">
        <v>27</v>
      </c>
      <c r="D103" s="21" t="s">
        <v>31</v>
      </c>
      <c r="E103" s="24">
        <v>1</v>
      </c>
      <c r="F103" s="22">
        <v>1</v>
      </c>
      <c r="G103" s="21"/>
      <c r="H103" s="20"/>
    </row>
    <row r="104" spans="1:13" s="8" customFormat="1" ht="30" x14ac:dyDescent="0.25">
      <c r="A104" s="20">
        <v>93</v>
      </c>
      <c r="B104" s="23" t="s">
        <v>30</v>
      </c>
      <c r="C104" s="25" t="s">
        <v>28</v>
      </c>
      <c r="D104" s="23" t="s">
        <v>32</v>
      </c>
      <c r="E104" s="24">
        <v>1</v>
      </c>
      <c r="F104" s="22">
        <v>1</v>
      </c>
      <c r="G104" s="21"/>
      <c r="H104" s="20"/>
    </row>
    <row r="105" spans="1:13" s="8" customFormat="1" x14ac:dyDescent="0.25">
      <c r="A105" s="20">
        <v>94</v>
      </c>
      <c r="B105" s="46" t="s">
        <v>34</v>
      </c>
      <c r="C105" s="25" t="s">
        <v>36</v>
      </c>
      <c r="D105" s="46">
        <v>44774</v>
      </c>
      <c r="E105" s="24">
        <v>1</v>
      </c>
      <c r="F105" s="22">
        <v>5</v>
      </c>
      <c r="G105" s="21"/>
      <c r="H105" s="20"/>
    </row>
    <row r="106" spans="1:13" s="8" customFormat="1" ht="20.100000000000001" customHeight="1" x14ac:dyDescent="0.25">
      <c r="A106" s="20">
        <v>95</v>
      </c>
      <c r="B106" s="46" t="s">
        <v>34</v>
      </c>
      <c r="C106" s="26" t="s">
        <v>33</v>
      </c>
      <c r="D106" s="46">
        <v>44774</v>
      </c>
      <c r="E106" s="24">
        <v>1</v>
      </c>
      <c r="F106" s="22">
        <v>1</v>
      </c>
      <c r="G106" s="21"/>
      <c r="H106" s="20"/>
    </row>
    <row r="107" spans="1:13" s="8" customFormat="1" x14ac:dyDescent="0.25">
      <c r="A107" s="14"/>
      <c r="B107" s="5"/>
      <c r="C107" s="11" t="s">
        <v>91</v>
      </c>
      <c r="D107" s="6"/>
      <c r="E107" s="7"/>
      <c r="F107" s="15"/>
      <c r="G107" s="47"/>
      <c r="H107" s="14"/>
    </row>
    <row r="108" spans="1:13" s="8" customFormat="1" x14ac:dyDescent="0.25">
      <c r="A108" s="14"/>
      <c r="B108" s="5"/>
      <c r="C108" s="12"/>
      <c r="D108" s="6"/>
      <c r="E108" s="7"/>
      <c r="F108" s="15"/>
      <c r="G108" s="47"/>
      <c r="H108" s="14"/>
    </row>
    <row r="109" spans="1:13" s="34" customFormat="1" ht="18.75" x14ac:dyDescent="0.3">
      <c r="A109" s="29"/>
      <c r="B109" s="10" t="s">
        <v>16</v>
      </c>
      <c r="C109" s="30"/>
      <c r="D109" s="31"/>
      <c r="E109" s="32"/>
      <c r="F109" s="33"/>
      <c r="G109" s="31"/>
      <c r="H109" s="31"/>
    </row>
    <row r="110" spans="1:13" s="34" customFormat="1" ht="18.75" x14ac:dyDescent="0.3">
      <c r="A110" s="29"/>
      <c r="B110" s="35"/>
      <c r="C110" s="80" t="s">
        <v>17</v>
      </c>
      <c r="D110" s="80"/>
      <c r="E110" s="80"/>
      <c r="F110" s="80"/>
      <c r="G110" s="80"/>
      <c r="H110" s="31"/>
    </row>
    <row r="111" spans="1:13" s="34" customFormat="1" ht="18.75" x14ac:dyDescent="0.3">
      <c r="A111" s="29"/>
      <c r="B111" s="10" t="s">
        <v>18</v>
      </c>
      <c r="C111" s="30"/>
      <c r="D111" s="31"/>
      <c r="E111" s="32"/>
      <c r="F111" s="33"/>
      <c r="G111" s="31"/>
      <c r="H111" s="31"/>
    </row>
    <row r="112" spans="1:13" s="34" customFormat="1" ht="18.75" x14ac:dyDescent="0.3">
      <c r="A112" s="29"/>
      <c r="B112" s="35"/>
      <c r="C112" s="80" t="s">
        <v>17</v>
      </c>
      <c r="D112" s="80"/>
      <c r="E112" s="80"/>
      <c r="F112" s="80"/>
      <c r="G112" s="80"/>
      <c r="H112" s="31"/>
    </row>
    <row r="113" spans="1:8" s="38" customFormat="1" ht="12.75" x14ac:dyDescent="0.2">
      <c r="A113" s="36"/>
      <c r="B113" s="36"/>
      <c r="C113" s="37"/>
      <c r="D113" s="37"/>
      <c r="E113" s="37"/>
      <c r="F113" s="37"/>
      <c r="G113" s="37"/>
      <c r="H113" s="37"/>
    </row>
    <row r="114" spans="1:8" s="38" customFormat="1" ht="12.75" x14ac:dyDescent="0.2">
      <c r="A114" s="36"/>
      <c r="B114" s="36"/>
      <c r="C114" s="37"/>
      <c r="D114" s="37"/>
      <c r="E114" s="37"/>
      <c r="F114" s="37"/>
      <c r="G114" s="37"/>
      <c r="H114" s="37"/>
    </row>
    <row r="115" spans="1:8" s="38" customFormat="1" ht="12.75" x14ac:dyDescent="0.2">
      <c r="A115" s="36"/>
      <c r="B115" s="36"/>
      <c r="C115" s="37"/>
      <c r="D115" s="37"/>
      <c r="E115" s="37"/>
      <c r="F115" s="37"/>
      <c r="G115" s="37"/>
      <c r="H115" s="37"/>
    </row>
    <row r="116" spans="1:8" s="38" customFormat="1" ht="12.75" x14ac:dyDescent="0.2">
      <c r="A116" s="39"/>
      <c r="B116" s="39"/>
    </row>
    <row r="117" spans="1:8" s="38" customFormat="1" ht="12.75" x14ac:dyDescent="0.2">
      <c r="A117" s="39"/>
      <c r="B117" s="39"/>
    </row>
  </sheetData>
  <autoFilter ref="B10:H107" xr:uid="{00000000-0009-0000-0000-000002000000}"/>
  <mergeCells count="16">
    <mergeCell ref="A5:B5"/>
    <mergeCell ref="C5:H5"/>
    <mergeCell ref="A1:H1"/>
    <mergeCell ref="A2:B3"/>
    <mergeCell ref="C2:H3"/>
    <mergeCell ref="A4:B4"/>
    <mergeCell ref="C4:H4"/>
    <mergeCell ref="C110:G110"/>
    <mergeCell ref="C112:G112"/>
    <mergeCell ref="A6:B6"/>
    <mergeCell ref="C6:H6"/>
    <mergeCell ref="A7:B7"/>
    <mergeCell ref="A8:B8"/>
    <mergeCell ref="C8:H8"/>
    <mergeCell ref="A9:B9"/>
    <mergeCell ref="C9:H9"/>
  </mergeCells>
  <pageMargins left="0.39370078740157483" right="0.39370078740157483" top="0.78740157480314965" bottom="0.78740157480314965" header="0" footer="0"/>
  <pageSetup paperSize="9" scale="63" fitToHeight="0" orientation="landscape" horizontalDpi="1200" verticalDpi="1200" r:id="rId1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</vt:i4>
      </vt:variant>
    </vt:vector>
  </HeadingPairs>
  <TitlesOfParts>
    <vt:vector size="15" baseType="lpstr">
      <vt:lpstr>Реестр 9.33 (копии) (3)</vt:lpstr>
      <vt:lpstr>Реестр 9.33 (копии)</vt:lpstr>
      <vt:lpstr>Реестр №2</vt:lpstr>
      <vt:lpstr>'Реестр 9.33 (копии)'!Print_Area</vt:lpstr>
      <vt:lpstr>'Реестр 9.33 (копии) (3)'!Print_Area</vt:lpstr>
      <vt:lpstr>'Реестр №2'!Print_Area</vt:lpstr>
      <vt:lpstr>'Реестр 9.33 (копии)'!Print_Titles</vt:lpstr>
      <vt:lpstr>'Реестр 9.33 (копии) (3)'!Print_Titles</vt:lpstr>
      <vt:lpstr>'Реестр №2'!Print_Titles</vt:lpstr>
      <vt:lpstr>'Реестр 9.33 (копии)'!Заголовки_для_печати</vt:lpstr>
      <vt:lpstr>'Реестр 9.33 (копии) (3)'!Заголовки_для_печати</vt:lpstr>
      <vt:lpstr>'Реестр №2'!Заголовки_для_печати</vt:lpstr>
      <vt:lpstr>'Реестр 9.33 (копии)'!Область_печати</vt:lpstr>
      <vt:lpstr>'Реестр 9.33 (копии) (3)'!Область_печати</vt:lpstr>
      <vt:lpstr>'Реестр №2'!Область_печати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Пользователь</cp:lastModifiedBy>
  <cp:lastPrinted>2025-08-18T12:09:19Z</cp:lastPrinted>
  <dcterms:created xsi:type="dcterms:W3CDTF">2023-05-03T14:01:40Z</dcterms:created>
  <dcterms:modified xsi:type="dcterms:W3CDTF">2025-08-18T12:09:26Z</dcterms:modified>
</cp:coreProperties>
</file>